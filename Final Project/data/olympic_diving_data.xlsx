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avidsoncollegenc-my.sharepoint.com/personal/jowhitehouse_davidson_edu/Documents/Desktop/Semester 8 - Spring 2026/CSC362/Final Project/data/"/>
    </mc:Choice>
  </mc:AlternateContent>
  <xr:revisionPtr revIDLastSave="1812" documentId="8_{73FD9A6A-08A8-493B-83F8-A4E9FCBEB3BD}" xr6:coauthVersionLast="47" xr6:coauthVersionMax="47" xr10:uidLastSave="{A667942E-AED5-4A8F-AAE3-F4D7D238DEE6}"/>
  <bookViews>
    <workbookView xWindow="-110" yWindow="-110" windowWidth="19420" windowHeight="10300" firstSheet="1" activeTab="1" xr2:uid="{ED9941D7-099C-4BAB-8410-738FDD4CF088}"/>
  </bookViews>
  <sheets>
    <sheet name="women_3m" sheetId="2" r:id="rId1"/>
    <sheet name="women_10m" sheetId="3" r:id="rId2"/>
    <sheet name="men_3m" sheetId="6" r:id="rId3"/>
    <sheet name="men_10m" sheetId="8" r:id="rId4"/>
    <sheet name="dives" sheetId="10" r:id="rId5"/>
    <sheet name="Sheet1" sheetId="9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AF36" i="8" l="1"/>
  <c r="AF34" i="8"/>
  <c r="AG34" i="8"/>
  <c r="R34" i="8"/>
  <c r="S34" i="8"/>
  <c r="AT32" i="8"/>
  <c r="AF32" i="8"/>
  <c r="AG32" i="8"/>
  <c r="R32" i="8"/>
  <c r="S32" i="8"/>
  <c r="AT28" i="8"/>
  <c r="AF27" i="8"/>
  <c r="AF25" i="8"/>
  <c r="AG25" i="8"/>
  <c r="R25" i="8"/>
  <c r="S25" i="8"/>
  <c r="AF24" i="8"/>
  <c r="AG24" i="8"/>
  <c r="R24" i="8"/>
  <c r="S24" i="8"/>
  <c r="AF23" i="8"/>
  <c r="R22" i="8"/>
  <c r="S22" i="8"/>
  <c r="AF19" i="8"/>
  <c r="CJ18" i="8"/>
  <c r="AT18" i="8"/>
  <c r="AF18" i="8"/>
  <c r="R18" i="8"/>
  <c r="S18" i="8"/>
  <c r="CJ17" i="8"/>
  <c r="BV17" i="8"/>
  <c r="AF17" i="8"/>
  <c r="BV16" i="8"/>
  <c r="AT16" i="8"/>
  <c r="AF13" i="8"/>
  <c r="R13" i="8"/>
  <c r="S13" i="8"/>
  <c r="R12" i="8"/>
  <c r="S12" i="8"/>
  <c r="AF10" i="8"/>
  <c r="CJ9" i="8"/>
  <c r="R8" i="8"/>
  <c r="S8" i="8"/>
  <c r="R7" i="8"/>
  <c r="S7" i="8"/>
  <c r="AF4" i="8"/>
  <c r="BH3" i="8"/>
  <c r="CJ2" i="8"/>
  <c r="BH2" i="8"/>
  <c r="AF2" i="8"/>
  <c r="CJ37" i="6"/>
  <c r="AF37" i="6"/>
  <c r="AG37" i="6"/>
  <c r="R36" i="6"/>
  <c r="S36" i="6"/>
  <c r="AF35" i="6"/>
  <c r="AG35" i="6"/>
  <c r="CJ34" i="6"/>
  <c r="AT34" i="6"/>
  <c r="R34" i="6"/>
  <c r="S34" i="6"/>
  <c r="AT33" i="6"/>
  <c r="AF33" i="6"/>
  <c r="CJ32" i="6"/>
  <c r="R30" i="6"/>
  <c r="S30" i="6"/>
  <c r="BH29" i="6"/>
  <c r="AF29" i="6"/>
  <c r="R29" i="6"/>
  <c r="S29" i="6"/>
  <c r="R27" i="6"/>
  <c r="S27" i="6"/>
  <c r="CJ26" i="6"/>
  <c r="BH26" i="6"/>
  <c r="AF25" i="6"/>
  <c r="R25" i="6"/>
  <c r="S25" i="6"/>
  <c r="AF23" i="6"/>
  <c r="R23" i="6"/>
  <c r="S23" i="6"/>
  <c r="R21" i="6"/>
  <c r="S21" i="6"/>
  <c r="BV20" i="6"/>
  <c r="CJ19" i="6"/>
  <c r="AF19" i="6"/>
  <c r="CJ18" i="6"/>
  <c r="BV17" i="6"/>
  <c r="R17" i="6"/>
  <c r="S17" i="6"/>
  <c r="CJ15" i="6"/>
  <c r="AF15" i="6"/>
  <c r="CJ14" i="6"/>
  <c r="CJ13" i="6"/>
  <c r="R13" i="6"/>
  <c r="S13" i="6"/>
  <c r="AG10" i="6"/>
  <c r="R10" i="6"/>
  <c r="S10" i="6"/>
  <c r="CJ8" i="6"/>
  <c r="R8" i="6"/>
  <c r="S8" i="6"/>
  <c r="AG7" i="6"/>
  <c r="BV6" i="6"/>
  <c r="R6" i="6"/>
  <c r="S6" i="6"/>
  <c r="R5" i="6"/>
  <c r="S5" i="6"/>
  <c r="BV3" i="6"/>
  <c r="BH37" i="3"/>
  <c r="R36" i="3"/>
  <c r="S36" i="3"/>
  <c r="BV35" i="3"/>
  <c r="R35" i="3"/>
  <c r="S35" i="3"/>
  <c r="BV34" i="3"/>
  <c r="R34" i="3"/>
  <c r="S34" i="3"/>
  <c r="BH33" i="3"/>
  <c r="BV32" i="3"/>
  <c r="AF32" i="3"/>
  <c r="BV31" i="3"/>
  <c r="BH30" i="3"/>
  <c r="AF30" i="3"/>
  <c r="BV29" i="3"/>
  <c r="BH29" i="3"/>
  <c r="BV27" i="3"/>
  <c r="R27" i="3"/>
  <c r="S27" i="3"/>
  <c r="AT25" i="3"/>
  <c r="AT23" i="3"/>
  <c r="AF16" i="3"/>
  <c r="AF15" i="3"/>
  <c r="R15" i="3"/>
  <c r="S15" i="3"/>
  <c r="R14" i="3"/>
  <c r="S14" i="3"/>
  <c r="BV12" i="3"/>
  <c r="AF12" i="3"/>
  <c r="AG11" i="3"/>
  <c r="R11" i="3"/>
  <c r="S11" i="3"/>
  <c r="R10" i="3"/>
  <c r="S10" i="3"/>
  <c r="BH9" i="3"/>
  <c r="AF9" i="3"/>
  <c r="R9" i="3"/>
  <c r="S9" i="3"/>
  <c r="BV8" i="3"/>
  <c r="BH8" i="3"/>
  <c r="AU8" i="3"/>
  <c r="AG8" i="3"/>
  <c r="BV7" i="3"/>
  <c r="AU7" i="3"/>
  <c r="AT5" i="3"/>
  <c r="R5" i="3"/>
  <c r="S5" i="3"/>
  <c r="BV3" i="3"/>
  <c r="BV2" i="3"/>
  <c r="AT2" i="3"/>
  <c r="BV37" i="2"/>
  <c r="BH37" i="2"/>
  <c r="R37" i="2"/>
  <c r="S37" i="2"/>
  <c r="BV36" i="2"/>
  <c r="R36" i="2"/>
  <c r="S36" i="2"/>
  <c r="BV35" i="2"/>
  <c r="AT35" i="2"/>
  <c r="AF35" i="2"/>
  <c r="R35" i="2"/>
  <c r="S35" i="2"/>
  <c r="BV34" i="2"/>
  <c r="AF34" i="2"/>
  <c r="AG34" i="2"/>
  <c r="R34" i="2"/>
  <c r="S34" i="2"/>
  <c r="BV33" i="2"/>
  <c r="AF33" i="2"/>
  <c r="AG33" i="2"/>
  <c r="R33" i="2"/>
  <c r="S33" i="2"/>
  <c r="AT32" i="2"/>
  <c r="R32" i="2"/>
  <c r="S32" i="2"/>
  <c r="BH31" i="2"/>
  <c r="AT31" i="2"/>
  <c r="AF31" i="2"/>
  <c r="BH30" i="2"/>
  <c r="R29" i="2"/>
  <c r="S29" i="2"/>
  <c r="BV28" i="2"/>
  <c r="R28" i="2"/>
  <c r="S28" i="2"/>
  <c r="AF27" i="2"/>
  <c r="AG27" i="2"/>
  <c r="R27" i="2"/>
  <c r="S27" i="2"/>
  <c r="BV26" i="2"/>
  <c r="BH26" i="2"/>
  <c r="AF26" i="2"/>
  <c r="AG26" i="2"/>
  <c r="R26" i="2"/>
  <c r="S26" i="2"/>
  <c r="AT25" i="2"/>
  <c r="R25" i="2"/>
  <c r="S25" i="2"/>
  <c r="AF24" i="2"/>
  <c r="R21" i="2"/>
  <c r="S21" i="2"/>
  <c r="BV20" i="2"/>
  <c r="AT20" i="2"/>
  <c r="BV19" i="2"/>
  <c r="AT19" i="2"/>
  <c r="R19" i="2"/>
  <c r="S19" i="2"/>
  <c r="AF18" i="2"/>
  <c r="R18" i="2"/>
  <c r="S18" i="2"/>
  <c r="BV17" i="2"/>
  <c r="AT17" i="2"/>
  <c r="R17" i="2"/>
  <c r="S17" i="2"/>
  <c r="AF16" i="2"/>
  <c r="R16" i="2"/>
  <c r="S16" i="2"/>
  <c r="AT15" i="2"/>
  <c r="R13" i="2"/>
  <c r="S13" i="2"/>
  <c r="AF12" i="2"/>
  <c r="AG12" i="2"/>
  <c r="BH11" i="2"/>
  <c r="AT11" i="2"/>
  <c r="R11" i="2"/>
  <c r="S11" i="2"/>
  <c r="BV10" i="2"/>
  <c r="AT10" i="2"/>
  <c r="R10" i="2"/>
  <c r="S10" i="2"/>
  <c r="BV9" i="2"/>
  <c r="AT9" i="2"/>
  <c r="AF9" i="2"/>
  <c r="R9" i="2"/>
  <c r="S9" i="2"/>
  <c r="BV8" i="2"/>
  <c r="AF8" i="2"/>
  <c r="R8" i="2"/>
  <c r="S8" i="2"/>
  <c r="BH7" i="2"/>
  <c r="AF7" i="2"/>
  <c r="R7" i="2"/>
  <c r="S7" i="2"/>
  <c r="BH6" i="2"/>
  <c r="AT6" i="2"/>
  <c r="AF6" i="2"/>
  <c r="AG6" i="2"/>
  <c r="R6" i="2"/>
  <c r="S6" i="2"/>
  <c r="BH5" i="2"/>
  <c r="AF3" i="2"/>
</calcChain>
</file>

<file path=xl/sharedStrings.xml><?xml version="1.0" encoding="utf-8"?>
<sst xmlns="http://schemas.openxmlformats.org/spreadsheetml/2006/main" count="2627" uniqueCount="332">
  <si>
    <t>Olympic_Year</t>
  </si>
  <si>
    <t>Gender</t>
  </si>
  <si>
    <t>Event</t>
  </si>
  <si>
    <t>China</t>
  </si>
  <si>
    <t>405B</t>
  </si>
  <si>
    <t>205B</t>
  </si>
  <si>
    <t>305B</t>
  </si>
  <si>
    <t>107B</t>
  </si>
  <si>
    <t>5152B</t>
  </si>
  <si>
    <t>F</t>
  </si>
  <si>
    <t>3m</t>
  </si>
  <si>
    <t>Maddison Keeney</t>
  </si>
  <si>
    <t>Australia</t>
  </si>
  <si>
    <t>5154B</t>
  </si>
  <si>
    <t>Chiara Pellacani</t>
  </si>
  <si>
    <t>Italy</t>
  </si>
  <si>
    <t>Yasmin Harper</t>
  </si>
  <si>
    <t>Great Britain</t>
  </si>
  <si>
    <t>Mexico</t>
  </si>
  <si>
    <t>Saskia Oettinghaus</t>
  </si>
  <si>
    <t>Germany</t>
  </si>
  <si>
    <t>Valeria Antolino</t>
  </si>
  <si>
    <t>Spain</t>
  </si>
  <si>
    <t>305C</t>
  </si>
  <si>
    <t>Emilia Nilsson Garip</t>
  </si>
  <si>
    <t>Sweden</t>
  </si>
  <si>
    <t>405C</t>
  </si>
  <si>
    <t>Grace Reid</t>
  </si>
  <si>
    <t>Julia Vincet</t>
  </si>
  <si>
    <t>South Africa</t>
  </si>
  <si>
    <t>Malaysia</t>
  </si>
  <si>
    <t>Tingmao Shi</t>
  </si>
  <si>
    <t>Han Wang</t>
  </si>
  <si>
    <t>Krysta Palmer</t>
  </si>
  <si>
    <t>United States</t>
  </si>
  <si>
    <t>Nur Dhabitah Sabri</t>
  </si>
  <si>
    <t>Inge Jansen</t>
  </si>
  <si>
    <t>Netherlands</t>
  </si>
  <si>
    <t>Aranza Vazquez Montano</t>
  </si>
  <si>
    <t>Tina Punzel</t>
  </si>
  <si>
    <t>Canada</t>
  </si>
  <si>
    <t>Hailey Hernandez</t>
  </si>
  <si>
    <t>107C</t>
  </si>
  <si>
    <t>205C</t>
  </si>
  <si>
    <t>Mariia Poliakova</t>
  </si>
  <si>
    <t>Russian Olympic Committee</t>
  </si>
  <si>
    <t>Michelle Heimberg</t>
  </si>
  <si>
    <t>Switzerland</t>
  </si>
  <si>
    <t>Esther Qin</t>
  </si>
  <si>
    <t>Zi He</t>
  </si>
  <si>
    <t>Tania Cagnotto</t>
  </si>
  <si>
    <t>Pamela Ware</t>
  </si>
  <si>
    <t>Nora Subschinski</t>
  </si>
  <si>
    <t>Yan Yee Ng</t>
  </si>
  <si>
    <t>Olena Fedorova</t>
  </si>
  <si>
    <t>Ukraine</t>
  </si>
  <si>
    <t>Abigail Johnston</t>
  </si>
  <si>
    <t>R1_J1</t>
  </si>
  <si>
    <t>R1_J2</t>
  </si>
  <si>
    <t>R1_J3</t>
  </si>
  <si>
    <t>R1_J4</t>
  </si>
  <si>
    <t>R1_J5</t>
  </si>
  <si>
    <t>R1_J6</t>
  </si>
  <si>
    <t>R1_J7</t>
  </si>
  <si>
    <t>R2_J1</t>
  </si>
  <si>
    <t>R2_J2</t>
  </si>
  <si>
    <t>R2_J3</t>
  </si>
  <si>
    <t>R2_J4</t>
  </si>
  <si>
    <t>R2_J5</t>
  </si>
  <si>
    <t>R2_J6</t>
  </si>
  <si>
    <t>R2_J7</t>
  </si>
  <si>
    <t>R3_J1</t>
  </si>
  <si>
    <t>R3_J2</t>
  </si>
  <si>
    <t>R3_J3</t>
  </si>
  <si>
    <t>R3_J4</t>
  </si>
  <si>
    <t>R3_J5</t>
  </si>
  <si>
    <t>R3_J6</t>
  </si>
  <si>
    <t>R3_J7</t>
  </si>
  <si>
    <t>R4_J1</t>
  </si>
  <si>
    <t>R4_J2</t>
  </si>
  <si>
    <t>R4_J3</t>
  </si>
  <si>
    <t>R4_J4</t>
  </si>
  <si>
    <t>R4_J5</t>
  </si>
  <si>
    <t>R4_J6</t>
  </si>
  <si>
    <t>R4_J7</t>
  </si>
  <si>
    <t>R5_J1</t>
  </si>
  <si>
    <t>R5_J2</t>
  </si>
  <si>
    <t>R5_J3</t>
  </si>
  <si>
    <t>R5_J4</t>
  </si>
  <si>
    <t>R5_J5</t>
  </si>
  <si>
    <t>R5_J6</t>
  </si>
  <si>
    <t>R5_J7</t>
  </si>
  <si>
    <t>athelete</t>
  </si>
  <si>
    <t>age</t>
  </si>
  <si>
    <t>points</t>
  </si>
  <si>
    <t>pts_behind</t>
  </si>
  <si>
    <t>R1_dive_points</t>
  </si>
  <si>
    <t>R1_dive_no</t>
  </si>
  <si>
    <t>R1_total_points</t>
  </si>
  <si>
    <t>R1_dive_rank</t>
  </si>
  <si>
    <t>R1_overall_rank</t>
  </si>
  <si>
    <t>R1_points_behind</t>
  </si>
  <si>
    <t>R2_dive_no</t>
  </si>
  <si>
    <t>R2_dd</t>
  </si>
  <si>
    <t>R1_dd</t>
  </si>
  <si>
    <t>R2_dive_points</t>
  </si>
  <si>
    <t>R2_total_points</t>
  </si>
  <si>
    <t>R2_dive_rank</t>
  </si>
  <si>
    <t>R2_overall_rank</t>
  </si>
  <si>
    <t>R2_points_behind</t>
  </si>
  <si>
    <t>R3_dive_no</t>
  </si>
  <si>
    <t>R3_dive_points</t>
  </si>
  <si>
    <t>R3_total_points</t>
  </si>
  <si>
    <t>R3_dive_rank</t>
  </si>
  <si>
    <t>R3_overall_rank</t>
  </si>
  <si>
    <t>R3_points_behind</t>
  </si>
  <si>
    <t>R4_dive_no</t>
  </si>
  <si>
    <t>R4_dive_points</t>
  </si>
  <si>
    <t>R4_total_points</t>
  </si>
  <si>
    <t>R4_dive_rank</t>
  </si>
  <si>
    <t>R4_overall_rank</t>
  </si>
  <si>
    <t>R4_points_behind</t>
  </si>
  <si>
    <t>R5_dive_no</t>
  </si>
  <si>
    <t>R3_dd</t>
  </si>
  <si>
    <t>R4_dd</t>
  </si>
  <si>
    <t>R5_dd</t>
  </si>
  <si>
    <t>R5_dive_points</t>
  </si>
  <si>
    <t>R5_total_points</t>
  </si>
  <si>
    <t>R5_dive_rank</t>
  </si>
  <si>
    <t>R5_overall_rank</t>
  </si>
  <si>
    <t>R5_points_behind</t>
  </si>
  <si>
    <t>country</t>
  </si>
  <si>
    <t>Yiwen Chen</t>
  </si>
  <si>
    <t>Yani Chang</t>
  </si>
  <si>
    <t>Alejandra Estudillo  Torres</t>
  </si>
  <si>
    <t>Jennifer Abel</t>
  </si>
  <si>
    <t>Hongchan Quan</t>
  </si>
  <si>
    <t>407C</t>
  </si>
  <si>
    <t>6243D</t>
  </si>
  <si>
    <t>207C</t>
  </si>
  <si>
    <t>5253B</t>
  </si>
  <si>
    <t>10m</t>
  </si>
  <si>
    <t>Yuxi Chen</t>
  </si>
  <si>
    <t>626C</t>
  </si>
  <si>
    <t>North Korea</t>
  </si>
  <si>
    <t>Caeli McKay</t>
  </si>
  <si>
    <t>Gabriela Agundez Garcia</t>
  </si>
  <si>
    <t>Andrea Spendolini-Sirieix</t>
  </si>
  <si>
    <t>Ellie Cole</t>
  </si>
  <si>
    <t>Alejandra Orozco Loza</t>
  </si>
  <si>
    <t>Matsuri Arai</t>
  </si>
  <si>
    <t>Japan</t>
  </si>
  <si>
    <t>Melissa Wu</t>
  </si>
  <si>
    <t>Else Praasterink</t>
  </si>
  <si>
    <t>Delaney Schnell</t>
  </si>
  <si>
    <t>Elena Wassen</t>
  </si>
  <si>
    <t>Lois Toulson</t>
  </si>
  <si>
    <t>Celine Van Duijn</t>
  </si>
  <si>
    <t>Luliia Timoshinina</t>
  </si>
  <si>
    <t>Pandelela Pamg</t>
  </si>
  <si>
    <t>Qian Ren</t>
  </si>
  <si>
    <t>Yajie Si</t>
  </si>
  <si>
    <t>Meaghan Benfeito</t>
  </si>
  <si>
    <t>Paola Espinosa Sanchez</t>
  </si>
  <si>
    <t>307C</t>
  </si>
  <si>
    <t>Roseline Filion</t>
  </si>
  <si>
    <t>Un Hyang Kim</t>
  </si>
  <si>
    <t>Minami Itahashi</t>
  </si>
  <si>
    <t>Jessica Parratto</t>
  </si>
  <si>
    <t>Tonia Couch</t>
  </si>
  <si>
    <t>Mi-rae Kim</t>
  </si>
  <si>
    <t>Sarah Jodoin Di Maria</t>
  </si>
  <si>
    <t>5353B</t>
  </si>
  <si>
    <t>407B</t>
  </si>
  <si>
    <t>109C</t>
  </si>
  <si>
    <t>M</t>
  </si>
  <si>
    <t>5337D</t>
  </si>
  <si>
    <t>5156B</t>
  </si>
  <si>
    <t>5172B</t>
  </si>
  <si>
    <t>Carson Tyler</t>
  </si>
  <si>
    <t>Jordan Houlden</t>
  </si>
  <si>
    <t>Colombia</t>
  </si>
  <si>
    <t>Jack Laugher</t>
  </si>
  <si>
    <t>Jules Bouyer</t>
  </si>
  <si>
    <t>France</t>
  </si>
  <si>
    <t>Jonathan Ruvalcaba</t>
  </si>
  <si>
    <t>Dominican Republic</t>
  </si>
  <si>
    <t>Kurtis Mathews</t>
  </si>
  <si>
    <t>South Korea</t>
  </si>
  <si>
    <t>Moritz Wesemann</t>
  </si>
  <si>
    <t>Siyi Xie</t>
  </si>
  <si>
    <t>Zongyuan Wang</t>
  </si>
  <si>
    <t>Haram Woo</t>
  </si>
  <si>
    <t>Evgenii Kuznetsov</t>
  </si>
  <si>
    <t>Rommel Pacheco Marrufo</t>
  </si>
  <si>
    <t>Martin Wolfram</t>
  </si>
  <si>
    <t>Anton Down-Jenkins</t>
  </si>
  <si>
    <t>New Zealand</t>
  </si>
  <si>
    <t>James Heatly</t>
  </si>
  <si>
    <t>Andrew Capobianco</t>
  </si>
  <si>
    <t>Mohab Ishak</t>
  </si>
  <si>
    <t>Egpyt</t>
  </si>
  <si>
    <t>Ken Terauchi</t>
  </si>
  <si>
    <t>Yuan Cao</t>
  </si>
  <si>
    <t>Patrick Hausding</t>
  </si>
  <si>
    <t>5355B</t>
  </si>
  <si>
    <t>Russia</t>
  </si>
  <si>
    <t>Kristian Ipsen</t>
  </si>
  <si>
    <t>Illya Kvasha</t>
  </si>
  <si>
    <t>Oliver Dingley</t>
  </si>
  <si>
    <t>Ireland</t>
  </si>
  <si>
    <t>Cesar Castro</t>
  </si>
  <si>
    <t>Brazil</t>
  </si>
  <si>
    <t>Mike Hixon</t>
  </si>
  <si>
    <t>Philippe Gagne</t>
  </si>
  <si>
    <t>Sebstian Morales Mendoza</t>
  </si>
  <si>
    <t>R6_dive_no</t>
  </si>
  <si>
    <t>R6_dd</t>
  </si>
  <si>
    <t>R6_J1</t>
  </si>
  <si>
    <t>R6_J2</t>
  </si>
  <si>
    <t>R6_J3</t>
  </si>
  <si>
    <t>R6_J4</t>
  </si>
  <si>
    <t>R6_J5</t>
  </si>
  <si>
    <t>R6_J6</t>
  </si>
  <si>
    <t>R6_J7</t>
  </si>
  <si>
    <t>R6_dive_points</t>
  </si>
  <si>
    <t>R6_total_points</t>
  </si>
  <si>
    <t>R6_dive_rank</t>
  </si>
  <si>
    <t>R6_overall_rank</t>
  </si>
  <si>
    <t>R6_points_behind</t>
  </si>
  <si>
    <t xml:space="preserve">Zongyuan Wang </t>
  </si>
  <si>
    <t>Osmar Olvera Ibarra</t>
  </si>
  <si>
    <t>Luis Uribe Bermudez</t>
  </si>
  <si>
    <t>final_rank</t>
  </si>
  <si>
    <t>207B</t>
  </si>
  <si>
    <t>6245D</t>
  </si>
  <si>
    <t>5255B</t>
  </si>
  <si>
    <t>Rikuto Tamai</t>
  </si>
  <si>
    <t>Noah Williams</t>
  </si>
  <si>
    <t>Cassiel Rousseau</t>
  </si>
  <si>
    <t>626B</t>
  </si>
  <si>
    <t>109B</t>
  </si>
  <si>
    <t>Timo Barthel</t>
  </si>
  <si>
    <t>Rylan Wiens</t>
  </si>
  <si>
    <t>Oleksii Sereda</t>
  </si>
  <si>
    <t>Nathan Zsombor-Murray</t>
  </si>
  <si>
    <t>Kyle Kothari</t>
  </si>
  <si>
    <t>Jian Yang</t>
  </si>
  <si>
    <t>Thomas Daley</t>
  </si>
  <si>
    <t>Aleksandr Bondar</t>
  </si>
  <si>
    <t>Viktor Minibaeuv</t>
  </si>
  <si>
    <t>Jordan Windle</t>
  </si>
  <si>
    <t>616B</t>
  </si>
  <si>
    <t>Kawan Figueredo Pereira</t>
  </si>
  <si>
    <t>Brandon Loschiavo</t>
  </si>
  <si>
    <t>Andres Isaac Villarreal Tudon</t>
  </si>
  <si>
    <t>Aisen Chen</t>
  </si>
  <si>
    <t>German Saul Sanchez</t>
  </si>
  <si>
    <t>David Boudia</t>
  </si>
  <si>
    <t>Benjamin Auffret</t>
  </si>
  <si>
    <t>Bo Qiu</t>
  </si>
  <si>
    <t>Rafael Quintero Diaz</t>
  </si>
  <si>
    <t>Puerto Rico</t>
  </si>
  <si>
    <t>Sascha Klein</t>
  </si>
  <si>
    <t>Ivan Garcia Navarro</t>
  </si>
  <si>
    <t>409C</t>
  </si>
  <si>
    <t>Domonic Bedggood</t>
  </si>
  <si>
    <t>Randal Willars Valdez</t>
  </si>
  <si>
    <t>Kevin Berlin Reyes</t>
  </si>
  <si>
    <t>Hao Yang</t>
  </si>
  <si>
    <t>Forward 3 ½ Somersault Pike</t>
  </si>
  <si>
    <t>Forward 3 ½ Somersault Tuck</t>
  </si>
  <si>
    <t>Forward 4 ½ Somersault Pike</t>
  </si>
  <si>
    <t>Forward 4 ½ Somersault Tuck</t>
  </si>
  <si>
    <t>Back 2 ½ Somersault Pike</t>
  </si>
  <si>
    <t>Back 2 ½ Somersault Tuck</t>
  </si>
  <si>
    <t>Back 3 ½ Somersault Pike</t>
  </si>
  <si>
    <t>Back 3 ½ Somersault Tuck</t>
  </si>
  <si>
    <t>Reverse 2½ Somersault Pike</t>
  </si>
  <si>
    <t>Reverse 2½ Somersault Tuck</t>
  </si>
  <si>
    <t>Reverse 3 ½ Somersault Tuck</t>
  </si>
  <si>
    <t>Inward 2 ½ Somersault Pike</t>
  </si>
  <si>
    <t>Inward 2 ½ Somersault Tuck</t>
  </si>
  <si>
    <t>Inward 3 ½ Somersault Pike</t>
  </si>
  <si>
    <t>Inward 3 ½ Somersault Tuck</t>
  </si>
  <si>
    <t>Forward 2 ½ Somersault 1 Twist Pike</t>
  </si>
  <si>
    <t>Forward 2 ½ Somersault 2 Twists Pike</t>
  </si>
  <si>
    <t>Back 2 ½ Somersault 1 ½ Twists Pike</t>
  </si>
  <si>
    <t>Reverse 1 ½ Somersault 3 ½ Twists Free</t>
  </si>
  <si>
    <t>Reverse 2 ½ Somersault 1 ½ Twists Pike</t>
  </si>
  <si>
    <t>Inward 4½ Somersaults Tuck</t>
  </si>
  <si>
    <t>Forward 2½ Somersaults 3 Twists Pike</t>
  </si>
  <si>
    <t>Forward 3½ Somersaults 1 Twist Pike</t>
  </si>
  <si>
    <t>Back 2½ Somersaults 2½ Twists Pike</t>
  </si>
  <si>
    <t>Reverse 2½ Somersaults 2½ Twists Pike</t>
  </si>
  <si>
    <t>Armstand Back 2 Somersault 1 ½ Twists Free</t>
  </si>
  <si>
    <t>Armstand Back 3 Somersaults Pike</t>
  </si>
  <si>
    <t>Armstand Back 3 Somersaults Tuck</t>
  </si>
  <si>
    <t>Armstand Forward 3 Somersaults Pike</t>
  </si>
  <si>
    <t>Armstand Back 2 Somersaults 2½ Twists Free</t>
  </si>
  <si>
    <t>dive_no</t>
  </si>
  <si>
    <t>dive_name</t>
  </si>
  <si>
    <t>Forward 3.5 Somersault Pike</t>
  </si>
  <si>
    <t>Forward 3.5 Somersault Tuck</t>
  </si>
  <si>
    <t>Forward 4.5 Somersault Pike</t>
  </si>
  <si>
    <t>Forward 4.5 Somersault Tuck</t>
  </si>
  <si>
    <t>Back 2.5 Somersault Pike</t>
  </si>
  <si>
    <t>Back 2.5 Somersault Tuck</t>
  </si>
  <si>
    <t>Back 3.5 Somersault Pike</t>
  </si>
  <si>
    <t>Back 3.5 Somersault Tuck</t>
  </si>
  <si>
    <t>Reverse 2.5 Somersault Pike</t>
  </si>
  <si>
    <t>Reverse 2.5 Somersault Tuck</t>
  </si>
  <si>
    <t>Reverse 3.5 Somersault Tuck</t>
  </si>
  <si>
    <t>Inward 2.5 Somersault Pike</t>
  </si>
  <si>
    <t>Inward 2.5Somersault Tuck</t>
  </si>
  <si>
    <t>Inward 3.5 Somersault Pike</t>
  </si>
  <si>
    <t>Inward 3.5 Somersault Tuck</t>
  </si>
  <si>
    <t>Inward 4.5 Somersaults Tuck</t>
  </si>
  <si>
    <t>Forward 2.5 Somersault 1 Twist Pike</t>
  </si>
  <si>
    <t>Forward 2.5 Somersault 2 Twists Pike</t>
  </si>
  <si>
    <t>Forward 2.5 Somersaults 3 Twists Pike</t>
  </si>
  <si>
    <t>Forward 3.5 Somersaults 1 Twist Pike</t>
  </si>
  <si>
    <t>Back 2.5 Somersault 1.5 Twists Pike</t>
  </si>
  <si>
    <t>Back 2.5 Somersaults 2.5 Twists Pike</t>
  </si>
  <si>
    <t>Reverse 1.5 Somersault 3.5 Twists Free</t>
  </si>
  <si>
    <t>Reverse 2 .5 Somersault 1.5 Twists Pike</t>
  </si>
  <si>
    <t>Reverse 2.5 Somersaults 2.5 Twists Pike</t>
  </si>
  <si>
    <t>Armstand Back 2 Somersault 1.5 Twists Free</t>
  </si>
  <si>
    <t>Armstand Back 2 Somersaults 2.5 Twists Free</t>
  </si>
  <si>
    <t>2.8</t>
  </si>
  <si>
    <t>9</t>
  </si>
  <si>
    <t>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</si>
</sst>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rgb="FF757A83"/>
      <name val="Aptos Narrow"/>
      <family val="2"/>
      <scheme val="minor"/>
    </font>
    <font>
      <sz val="11"/>
      <color rgb="FF1F2432"/>
      <name val="Aptos Narrow"/>
      <family val="2"/>
      <scheme val="minor"/>
    </font>
    <font>
      <b/>
      <sz val="11"/>
      <color rgb="FF1F2432"/>
      <name val="Aptos Narrow"/>
      <family val="2"/>
      <scheme val="minor"/>
    </font>
    <font>
      <b/>
      <sz val="11"/>
      <color rgb="FF1F2432"/>
      <name val="Aptos Narrow"/>
      <family val="2"/>
      <scheme val="minor"/>
    </font>
    <font>
      <b/>
      <sz val="11"/>
      <color rgb="FF757A83"/>
      <name val="Aptos Narrow"/>
      <family val="2"/>
      <scheme val="minor"/>
    </font>
    <font>
      <sz val="12"/>
      <color rgb="FF000000"/>
      <name val="Verdana"/>
      <family val="2"/>
    </font>
    <font>
      <sz val="7.5"/>
      <color rgb="FF000000"/>
      <name val="Verdana"/>
      <family val="2"/>
    </font>
    <font>
      <sz val="11"/>
      <color rgb="FF000000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7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3" fillId="2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left" vertical="center"/>
    </xf>
    <xf numFmtId="0" fontId="3" fillId="2" borderId="0" xfId="0" applyFont="1" applyFill="1" applyAlignment="1">
      <alignment horizontal="left"/>
    </xf>
    <xf numFmtId="2" fontId="0" fillId="0" borderId="0" xfId="0" applyNumberFormat="1" applyAlignment="1">
      <alignment horizontal="left"/>
    </xf>
    <xf numFmtId="2" fontId="3" fillId="2" borderId="0" xfId="0" applyNumberFormat="1" applyFont="1" applyFill="1" applyAlignment="1">
      <alignment horizontal="left"/>
    </xf>
    <xf numFmtId="2" fontId="4" fillId="2" borderId="0" xfId="0" applyNumberFormat="1" applyFont="1" applyFill="1" applyAlignment="1">
      <alignment horizontal="left"/>
    </xf>
    <xf numFmtId="2" fontId="1" fillId="0" borderId="0" xfId="0" applyNumberFormat="1" applyFont="1" applyAlignment="1">
      <alignment horizontal="left"/>
    </xf>
    <xf numFmtId="2" fontId="1" fillId="0" borderId="0" xfId="0" applyNumberFormat="1" applyFont="1"/>
    <xf numFmtId="2" fontId="4" fillId="2" borderId="0" xfId="0" applyNumberFormat="1" applyFont="1" applyFill="1" applyAlignment="1">
      <alignment horizontal="left" vertical="center"/>
    </xf>
    <xf numFmtId="2" fontId="3" fillId="2" borderId="0" xfId="0" applyNumberFormat="1" applyFont="1" applyFill="1" applyAlignment="1">
      <alignment horizontal="left" vertical="center"/>
    </xf>
    <xf numFmtId="2" fontId="2" fillId="2" borderId="0" xfId="0" applyNumberFormat="1" applyFont="1" applyFill="1" applyAlignment="1">
      <alignment horizontal="left" vertical="center"/>
    </xf>
    <xf numFmtId="0" fontId="5" fillId="2" borderId="0" xfId="0" applyFont="1" applyFill="1" applyAlignment="1">
      <alignment horizontal="left" vertical="center"/>
    </xf>
    <xf numFmtId="2" fontId="0" fillId="0" borderId="0" xfId="0" applyNumberFormat="1"/>
    <xf numFmtId="2" fontId="3" fillId="2" borderId="0" xfId="0" applyNumberFormat="1" applyFont="1" applyFill="1" applyAlignment="1">
      <alignment horizontal="center" vertical="center"/>
    </xf>
    <xf numFmtId="2" fontId="4" fillId="2" borderId="0" xfId="0" applyNumberFormat="1" applyFont="1" applyFill="1" applyAlignment="1">
      <alignment horizontal="center" vertical="center"/>
    </xf>
    <xf numFmtId="0" fontId="7" fillId="0" borderId="0" xfId="0" applyFont="1"/>
    <xf numFmtId="0" fontId="8" fillId="2" borderId="1" xfId="0" applyFont="1" applyFill="1" applyBorder="1" applyAlignment="1">
      <alignment horizontal="left" vertical="center" wrapText="1"/>
    </xf>
    <xf numFmtId="0" fontId="3" fillId="3" borderId="0" xfId="0" applyFont="1" applyFill="1" applyAlignment="1">
      <alignment horizontal="left" vertical="center"/>
    </xf>
    <xf numFmtId="0" fontId="3" fillId="3" borderId="0" xfId="0" applyFont="1" applyFill="1" applyAlignment="1">
      <alignment horizontal="center" vertical="center"/>
    </xf>
    <xf numFmtId="49" fontId="0" fillId="0" borderId="0" xfId="0" applyNumberFormat="1" applyAlignment="1">
      <alignment horizontal="left"/>
    </xf>
    <xf numFmtId="49" fontId="1" fillId="0" borderId="0" xfId="0" applyNumberFormat="1" applyFont="1" applyAlignment="1">
      <alignment horizontal="left"/>
    </xf>
    <xf numFmtId="49" fontId="2" fillId="2" borderId="0" xfId="0" applyNumberFormat="1" applyFont="1" applyFill="1" applyAlignment="1">
      <alignment horizontal="left"/>
    </xf>
    <xf numFmtId="49" fontId="4" fillId="2" borderId="0" xfId="0" applyNumberFormat="1" applyFont="1" applyFill="1" applyAlignment="1">
      <alignment horizontal="left"/>
    </xf>
    <xf numFmtId="49" fontId="3" fillId="2" borderId="0" xfId="0" applyNumberFormat="1" applyFont="1" applyFill="1" applyAlignment="1">
      <alignment horizontal="left"/>
    </xf>
    <xf numFmtId="49" fontId="3" fillId="2" borderId="0" xfId="0" applyNumberFormat="1" applyFont="1" applyFill="1" applyAlignment="1">
      <alignment horizontal="left" vertical="center"/>
    </xf>
    <xf numFmtId="49" fontId="2" fillId="2" borderId="0" xfId="0" applyNumberFormat="1" applyFont="1" applyFill="1" applyAlignment="1">
      <alignment horizontal="left" vertical="center"/>
    </xf>
    <xf numFmtId="49" fontId="4" fillId="2" borderId="0" xfId="0" applyNumberFormat="1" applyFont="1" applyFill="1" applyAlignment="1">
      <alignment horizontal="left" vertical="center"/>
    </xf>
    <xf numFmtId="49" fontId="6" fillId="2" borderId="0" xfId="0" applyNumberFormat="1" applyFont="1" applyFill="1" applyAlignment="1">
      <alignment horizontal="left" vertical="center"/>
    </xf>
    <xf numFmtId="49" fontId="1" fillId="0" borderId="0" xfId="0" applyNumberFormat="1" applyFont="1"/>
    <xf numFmtId="49" fontId="0" fillId="0" borderId="0" xfId="0" applyNumberFormat="1"/>
    <xf numFmtId="49" fontId="3" fillId="2" borderId="0" xfId="0" applyNumberFormat="1" applyFont="1" applyFill="1" applyAlignment="1">
      <alignment horizontal="center" vertical="center"/>
    </xf>
    <xf numFmtId="49" fontId="2" fillId="2" borderId="0" xfId="0" applyNumberFormat="1" applyFont="1" applyFill="1" applyAlignment="1">
      <alignment horizontal="center" vertical="center"/>
    </xf>
    <xf numFmtId="49" fontId="4" fillId="2" borderId="0" xfId="0" applyNumberFormat="1" applyFont="1" applyFill="1" applyAlignment="1">
      <alignment horizontal="center" vertical="center"/>
    </xf>
    <xf numFmtId="49" fontId="3" fillId="2" borderId="0" xfId="0" applyNumberFormat="1" applyFont="1" applyFill="1"/>
    <xf numFmtId="49" fontId="9" fillId="0" borderId="0" xfId="0" applyNumberFormat="1" applyFont="1"/>
    <xf numFmtId="49" fontId="3" fillId="2" borderId="0" xfId="0" applyNumberFormat="1" applyFont="1" applyFill="1" applyAlignment="1">
      <alignment vertical="center"/>
    </xf>
    <xf numFmtId="49" fontId="9" fillId="2" borderId="0" xfId="0" applyNumberFormat="1" applyFont="1" applyFill="1" applyAlignment="1">
      <alignment vertical="center" wrapText="1"/>
    </xf>
    <xf numFmtId="49" fontId="3" fillId="3" borderId="0" xfId="0" applyNumberFormat="1" applyFont="1" applyFill="1" applyAlignment="1">
      <alignment vertical="center"/>
    </xf>
    <xf numFmtId="49" fontId="1" fillId="3" borderId="0" xfId="0" applyNumberFormat="1" applyFont="1" applyFill="1" applyAlignment="1">
      <alignment horizontal="left"/>
    </xf>
    <xf numFmtId="49" fontId="3" fillId="3" borderId="0" xfId="0" applyNumberFormat="1" applyFont="1" applyFill="1" applyAlignment="1">
      <alignment horizontal="left" vertical="center"/>
    </xf>
    <xf numFmtId="49" fontId="0" fillId="0" borderId="0" xfId="0" applyNumberFormat="1" applyFont="1" applyAlignment="1">
      <alignment horizontal="left"/>
    </xf>
    <xf numFmtId="2" fontId="0" fillId="0" borderId="0" xfId="0" applyNumberFormat="1" applyFont="1" applyAlignment="1">
      <alignment horizontal="left"/>
    </xf>
    <xf numFmtId="0" fontId="0" fillId="0" borderId="0" xfId="0" applyFont="1" applyAlignment="1">
      <alignment horizontal="left"/>
    </xf>
    <xf numFmtId="49" fontId="0" fillId="3" borderId="0" xfId="0" applyNumberFormat="1" applyFont="1" applyFill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microsoft.com/office/2017/10/relationships/person" Target="persons/perso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8390C8-7958-472F-9E8C-CC3EF7355F11}">
  <dimension ref="A1:CA37"/>
  <sheetViews>
    <sheetView zoomScale="52" workbookViewId="0">
      <pane xSplit="3" topLeftCell="AV1" activePane="topRight" state="frozen"/>
      <selection pane="topRight" activeCell="BJ27" sqref="BJ27"/>
    </sheetView>
  </sheetViews>
  <sheetFormatPr defaultRowHeight="14.5" x14ac:dyDescent="0.35"/>
  <cols>
    <col min="1" max="2" width="8.7265625" style="22"/>
    <col min="3" max="3" width="21.81640625" style="22" bestFit="1" customWidth="1"/>
    <col min="4" max="4" width="8.7265625" style="22"/>
    <col min="5" max="6" width="8.7265625" style="6"/>
    <col min="7" max="8" width="8.7265625" style="22"/>
    <col min="9" max="17" width="8.7265625" style="6"/>
    <col min="18" max="19" width="8.7265625" style="22"/>
    <col min="20" max="20" width="8.7265625" style="6"/>
    <col min="21" max="21" width="8.7265625" style="22"/>
    <col min="22" max="22" width="8.7265625" style="1"/>
    <col min="23" max="31" width="8.7265625" style="6"/>
    <col min="32" max="33" width="8.7265625" style="22"/>
    <col min="34" max="34" width="8.7265625" style="6"/>
    <col min="35" max="36" width="8.7265625" style="22"/>
    <col min="37" max="45" width="8.7265625" style="6"/>
    <col min="46" max="47" width="8.7265625" style="22"/>
    <col min="48" max="48" width="8.7265625" style="6"/>
    <col min="49" max="50" width="8.7265625" style="22"/>
    <col min="51" max="59" width="8.7265625" style="6"/>
    <col min="60" max="61" width="8.7265625" style="22"/>
    <col min="62" max="62" width="8.7265625" style="6"/>
    <col min="63" max="64" width="8.7265625" style="22"/>
    <col min="65" max="73" width="8.7265625" style="6"/>
    <col min="74" max="75" width="8.7265625" style="22"/>
    <col min="76" max="76" width="8.7265625" style="6"/>
    <col min="77" max="79" width="8.7265625" style="22"/>
    <col min="80" max="16384" width="8.7265625" style="1"/>
  </cols>
  <sheetData>
    <row r="1" spans="1:79" x14ac:dyDescent="0.35">
      <c r="A1" s="22" t="s">
        <v>233</v>
      </c>
      <c r="B1" s="22" t="s">
        <v>131</v>
      </c>
      <c r="C1" s="22" t="s">
        <v>92</v>
      </c>
      <c r="D1" s="22" t="s">
        <v>93</v>
      </c>
      <c r="E1" s="6" t="s">
        <v>94</v>
      </c>
      <c r="F1" s="6" t="s">
        <v>95</v>
      </c>
      <c r="G1" s="23" t="s">
        <v>97</v>
      </c>
      <c r="H1" s="22" t="s">
        <v>104</v>
      </c>
      <c r="I1" s="6" t="s">
        <v>57</v>
      </c>
      <c r="J1" s="6" t="s">
        <v>58</v>
      </c>
      <c r="K1" s="6" t="s">
        <v>59</v>
      </c>
      <c r="L1" s="6" t="s">
        <v>60</v>
      </c>
      <c r="M1" s="6" t="s">
        <v>61</v>
      </c>
      <c r="N1" s="6" t="s">
        <v>62</v>
      </c>
      <c r="O1" s="6" t="s">
        <v>63</v>
      </c>
      <c r="P1" s="6" t="s">
        <v>96</v>
      </c>
      <c r="Q1" s="6" t="s">
        <v>98</v>
      </c>
      <c r="R1" s="22" t="s">
        <v>99</v>
      </c>
      <c r="S1" s="22" t="s">
        <v>100</v>
      </c>
      <c r="T1" s="6" t="s">
        <v>101</v>
      </c>
      <c r="U1" s="23" t="s">
        <v>102</v>
      </c>
      <c r="V1" s="1" t="s">
        <v>103</v>
      </c>
      <c r="W1" s="6" t="s">
        <v>64</v>
      </c>
      <c r="X1" s="6" t="s">
        <v>65</v>
      </c>
      <c r="Y1" s="6" t="s">
        <v>66</v>
      </c>
      <c r="Z1" s="6" t="s">
        <v>67</v>
      </c>
      <c r="AA1" s="6" t="s">
        <v>68</v>
      </c>
      <c r="AB1" s="6" t="s">
        <v>69</v>
      </c>
      <c r="AC1" s="6" t="s">
        <v>70</v>
      </c>
      <c r="AD1" s="6" t="s">
        <v>105</v>
      </c>
      <c r="AE1" s="6" t="s">
        <v>106</v>
      </c>
      <c r="AF1" s="22" t="s">
        <v>107</v>
      </c>
      <c r="AG1" s="22" t="s">
        <v>108</v>
      </c>
      <c r="AH1" s="6" t="s">
        <v>109</v>
      </c>
      <c r="AI1" s="23" t="s">
        <v>110</v>
      </c>
      <c r="AJ1" s="22" t="s">
        <v>123</v>
      </c>
      <c r="AK1" s="6" t="s">
        <v>71</v>
      </c>
      <c r="AL1" s="6" t="s">
        <v>72</v>
      </c>
      <c r="AM1" s="6" t="s">
        <v>73</v>
      </c>
      <c r="AN1" s="6" t="s">
        <v>74</v>
      </c>
      <c r="AO1" s="6" t="s">
        <v>75</v>
      </c>
      <c r="AP1" s="6" t="s">
        <v>76</v>
      </c>
      <c r="AQ1" s="6" t="s">
        <v>77</v>
      </c>
      <c r="AR1" s="6" t="s">
        <v>111</v>
      </c>
      <c r="AS1" s="6" t="s">
        <v>112</v>
      </c>
      <c r="AT1" s="22" t="s">
        <v>113</v>
      </c>
      <c r="AU1" s="22" t="s">
        <v>114</v>
      </c>
      <c r="AV1" s="6" t="s">
        <v>115</v>
      </c>
      <c r="AW1" s="23" t="s">
        <v>116</v>
      </c>
      <c r="AX1" s="22" t="s">
        <v>124</v>
      </c>
      <c r="AY1" s="6" t="s">
        <v>78</v>
      </c>
      <c r="AZ1" s="6" t="s">
        <v>79</v>
      </c>
      <c r="BA1" s="6" t="s">
        <v>80</v>
      </c>
      <c r="BB1" s="6" t="s">
        <v>81</v>
      </c>
      <c r="BC1" s="6" t="s">
        <v>82</v>
      </c>
      <c r="BD1" s="6" t="s">
        <v>83</v>
      </c>
      <c r="BE1" s="6" t="s">
        <v>84</v>
      </c>
      <c r="BF1" s="6" t="s">
        <v>117</v>
      </c>
      <c r="BG1" s="6" t="s">
        <v>118</v>
      </c>
      <c r="BH1" s="22" t="s">
        <v>119</v>
      </c>
      <c r="BI1" s="22" t="s">
        <v>120</v>
      </c>
      <c r="BJ1" s="6" t="s">
        <v>121</v>
      </c>
      <c r="BK1" s="23" t="s">
        <v>122</v>
      </c>
      <c r="BL1" s="22" t="s">
        <v>125</v>
      </c>
      <c r="BM1" s="6" t="s">
        <v>85</v>
      </c>
      <c r="BN1" s="6" t="s">
        <v>86</v>
      </c>
      <c r="BO1" s="6" t="s">
        <v>87</v>
      </c>
      <c r="BP1" s="6" t="s">
        <v>88</v>
      </c>
      <c r="BQ1" s="6" t="s">
        <v>89</v>
      </c>
      <c r="BR1" s="6" t="s">
        <v>90</v>
      </c>
      <c r="BS1" s="6" t="s">
        <v>91</v>
      </c>
      <c r="BT1" s="6" t="s">
        <v>126</v>
      </c>
      <c r="BU1" s="6" t="s">
        <v>127</v>
      </c>
      <c r="BV1" s="22" t="s">
        <v>128</v>
      </c>
      <c r="BW1" s="22" t="s">
        <v>129</v>
      </c>
      <c r="BX1" s="6" t="s">
        <v>130</v>
      </c>
      <c r="BY1" s="22" t="s">
        <v>0</v>
      </c>
      <c r="BZ1" s="22" t="s">
        <v>1</v>
      </c>
      <c r="CA1" s="22" t="s">
        <v>2</v>
      </c>
    </row>
    <row r="2" spans="1:79" x14ac:dyDescent="0.35">
      <c r="A2" s="23">
        <v>1</v>
      </c>
      <c r="B2" s="23" t="s">
        <v>3</v>
      </c>
      <c r="C2" s="23" t="s">
        <v>132</v>
      </c>
      <c r="D2" s="22">
        <v>25</v>
      </c>
      <c r="E2" s="6">
        <v>376</v>
      </c>
      <c r="F2" s="6">
        <v>0</v>
      </c>
      <c r="G2" s="26" t="s">
        <v>4</v>
      </c>
      <c r="H2" s="26">
        <v>3</v>
      </c>
      <c r="I2" s="7">
        <v>8</v>
      </c>
      <c r="J2" s="7">
        <v>8</v>
      </c>
      <c r="K2" s="7">
        <v>7.5</v>
      </c>
      <c r="L2" s="7">
        <v>8</v>
      </c>
      <c r="M2" s="7">
        <v>7.5</v>
      </c>
      <c r="N2" s="7">
        <v>8</v>
      </c>
      <c r="O2" s="7">
        <v>7.5</v>
      </c>
      <c r="P2" s="7">
        <v>70.5</v>
      </c>
      <c r="Q2" s="8">
        <v>70.5</v>
      </c>
      <c r="R2" s="24">
        <v>1</v>
      </c>
      <c r="S2" s="25">
        <v>1</v>
      </c>
      <c r="T2" s="6">
        <v>0</v>
      </c>
      <c r="U2" s="26" t="s">
        <v>5</v>
      </c>
      <c r="V2" s="5">
        <v>3</v>
      </c>
      <c r="W2" s="7">
        <v>9</v>
      </c>
      <c r="X2" s="7">
        <v>8.5</v>
      </c>
      <c r="Y2" s="7">
        <v>8.5</v>
      </c>
      <c r="Z2" s="7">
        <v>8.5</v>
      </c>
      <c r="AA2" s="7">
        <v>8</v>
      </c>
      <c r="AB2" s="7">
        <v>8.5</v>
      </c>
      <c r="AC2" s="7">
        <v>8</v>
      </c>
      <c r="AD2" s="7">
        <v>76.5</v>
      </c>
      <c r="AE2" s="8">
        <v>147</v>
      </c>
      <c r="AF2" s="24">
        <v>1</v>
      </c>
      <c r="AG2" s="25">
        <v>1</v>
      </c>
      <c r="AH2" s="7">
        <v>0</v>
      </c>
      <c r="AI2" s="26" t="s">
        <v>6</v>
      </c>
      <c r="AJ2" s="26">
        <v>3</v>
      </c>
      <c r="AK2" s="7">
        <v>8</v>
      </c>
      <c r="AL2" s="7">
        <v>8.5</v>
      </c>
      <c r="AM2" s="7">
        <v>8.5</v>
      </c>
      <c r="AN2" s="7">
        <v>8</v>
      </c>
      <c r="AO2" s="7">
        <v>8.5</v>
      </c>
      <c r="AP2" s="7">
        <v>9</v>
      </c>
      <c r="AQ2" s="7">
        <v>8</v>
      </c>
      <c r="AR2" s="7">
        <v>75</v>
      </c>
      <c r="AS2" s="8">
        <v>222</v>
      </c>
      <c r="AT2" s="24">
        <v>1</v>
      </c>
      <c r="AU2" s="25">
        <v>1</v>
      </c>
      <c r="AV2" s="7">
        <v>0</v>
      </c>
      <c r="AW2" s="26" t="s">
        <v>7</v>
      </c>
      <c r="AX2" s="26">
        <v>3.1</v>
      </c>
      <c r="AY2" s="7">
        <v>8.5</v>
      </c>
      <c r="AZ2" s="7">
        <v>8.5</v>
      </c>
      <c r="BA2" s="7">
        <v>8</v>
      </c>
      <c r="BB2" s="7">
        <v>8.5</v>
      </c>
      <c r="BC2" s="7">
        <v>7.5</v>
      </c>
      <c r="BD2" s="7">
        <v>8.5</v>
      </c>
      <c r="BE2" s="7">
        <v>8</v>
      </c>
      <c r="BF2" s="7">
        <v>77.5</v>
      </c>
      <c r="BG2" s="8">
        <v>299.5</v>
      </c>
      <c r="BH2" s="24">
        <v>1</v>
      </c>
      <c r="BI2" s="25">
        <v>1</v>
      </c>
      <c r="BJ2" s="6">
        <v>0</v>
      </c>
      <c r="BK2" s="26" t="s">
        <v>8</v>
      </c>
      <c r="BL2" s="26">
        <v>3</v>
      </c>
      <c r="BM2" s="7">
        <v>8.5</v>
      </c>
      <c r="BN2" s="7">
        <v>8.5</v>
      </c>
      <c r="BO2" s="7">
        <v>8</v>
      </c>
      <c r="BP2" s="7">
        <v>9</v>
      </c>
      <c r="BQ2" s="7">
        <v>8.5</v>
      </c>
      <c r="BR2" s="7">
        <v>8.5</v>
      </c>
      <c r="BS2" s="7">
        <v>8.5</v>
      </c>
      <c r="BT2" s="7">
        <v>76.5</v>
      </c>
      <c r="BU2" s="8">
        <v>376</v>
      </c>
      <c r="BV2" s="24">
        <v>2</v>
      </c>
      <c r="BW2" s="25">
        <v>1</v>
      </c>
      <c r="BX2" s="6">
        <v>0</v>
      </c>
      <c r="BY2" s="22">
        <v>2024</v>
      </c>
      <c r="BZ2" s="22" t="s">
        <v>9</v>
      </c>
      <c r="CA2" s="22" t="s">
        <v>10</v>
      </c>
    </row>
    <row r="3" spans="1:79" x14ac:dyDescent="0.35">
      <c r="A3" s="22">
        <v>2</v>
      </c>
      <c r="B3" s="22" t="s">
        <v>12</v>
      </c>
      <c r="C3" s="22" t="s">
        <v>11</v>
      </c>
      <c r="D3" s="22">
        <v>28</v>
      </c>
      <c r="E3" s="6">
        <v>343.1</v>
      </c>
      <c r="F3" s="6">
        <v>32.9</v>
      </c>
      <c r="G3" s="26" t="s">
        <v>5</v>
      </c>
      <c r="H3" s="26">
        <v>3</v>
      </c>
      <c r="I3" s="7">
        <v>7.5</v>
      </c>
      <c r="J3" s="7">
        <v>7.5</v>
      </c>
      <c r="K3" s="7">
        <v>7.5</v>
      </c>
      <c r="L3" s="7">
        <v>7</v>
      </c>
      <c r="M3" s="7">
        <v>7.5</v>
      </c>
      <c r="N3" s="7">
        <v>7.5</v>
      </c>
      <c r="O3" s="7">
        <v>7.5</v>
      </c>
      <c r="P3" s="7">
        <v>67.5</v>
      </c>
      <c r="Q3" s="8">
        <v>67.5</v>
      </c>
      <c r="R3" s="24">
        <v>2</v>
      </c>
      <c r="S3" s="25">
        <v>2</v>
      </c>
      <c r="T3" s="7">
        <v>3</v>
      </c>
      <c r="U3" s="26" t="s">
        <v>6</v>
      </c>
      <c r="V3" s="5">
        <v>3</v>
      </c>
      <c r="W3" s="7">
        <v>8</v>
      </c>
      <c r="X3" s="7">
        <v>7.5</v>
      </c>
      <c r="Y3" s="7">
        <v>7.5</v>
      </c>
      <c r="Z3" s="7">
        <v>7.5</v>
      </c>
      <c r="AA3" s="7">
        <v>7.5</v>
      </c>
      <c r="AB3" s="7">
        <v>7.5</v>
      </c>
      <c r="AC3" s="7">
        <v>7.5</v>
      </c>
      <c r="AD3" s="7">
        <v>67.5</v>
      </c>
      <c r="AE3" s="8">
        <v>135</v>
      </c>
      <c r="AF3" s="24">
        <f>3</f>
        <v>3</v>
      </c>
      <c r="AG3" s="25">
        <v>2</v>
      </c>
      <c r="AH3" s="7">
        <v>12</v>
      </c>
      <c r="AI3" s="26" t="s">
        <v>4</v>
      </c>
      <c r="AJ3" s="26">
        <v>3</v>
      </c>
      <c r="AK3" s="7">
        <v>6.5</v>
      </c>
      <c r="AL3" s="7">
        <v>6.5</v>
      </c>
      <c r="AM3" s="7">
        <v>6.5</v>
      </c>
      <c r="AN3" s="7">
        <v>6</v>
      </c>
      <c r="AO3" s="7">
        <v>6</v>
      </c>
      <c r="AP3" s="7">
        <v>6</v>
      </c>
      <c r="AQ3" s="7">
        <v>5.5</v>
      </c>
      <c r="AR3" s="7">
        <v>55.5</v>
      </c>
      <c r="AS3" s="8">
        <v>190.5</v>
      </c>
      <c r="AT3" s="24">
        <v>9</v>
      </c>
      <c r="AU3" s="25">
        <v>2</v>
      </c>
      <c r="AV3" s="7">
        <v>31.5</v>
      </c>
      <c r="AW3" s="26" t="s">
        <v>7</v>
      </c>
      <c r="AX3" s="26">
        <v>3.1</v>
      </c>
      <c r="AY3" s="7">
        <v>8</v>
      </c>
      <c r="AZ3" s="7">
        <v>8</v>
      </c>
      <c r="BA3" s="7">
        <v>8</v>
      </c>
      <c r="BB3" s="7">
        <v>7.5</v>
      </c>
      <c r="BC3" s="7">
        <v>7.5</v>
      </c>
      <c r="BD3" s="7">
        <v>8</v>
      </c>
      <c r="BE3" s="7">
        <v>8</v>
      </c>
      <c r="BF3" s="7">
        <v>74.400000000000006</v>
      </c>
      <c r="BG3" s="8">
        <v>264.89999999999998</v>
      </c>
      <c r="BH3" s="24">
        <v>3</v>
      </c>
      <c r="BI3" s="25">
        <v>2</v>
      </c>
      <c r="BJ3" s="7">
        <v>34.6</v>
      </c>
      <c r="BK3" s="26" t="s">
        <v>13</v>
      </c>
      <c r="BL3" s="26">
        <v>3.4</v>
      </c>
      <c r="BM3" s="7">
        <v>8</v>
      </c>
      <c r="BN3" s="7">
        <v>7.5</v>
      </c>
      <c r="BO3" s="7">
        <v>8</v>
      </c>
      <c r="BP3" s="7">
        <v>7.5</v>
      </c>
      <c r="BQ3" s="7">
        <v>7.5</v>
      </c>
      <c r="BR3" s="7">
        <v>8</v>
      </c>
      <c r="BS3" s="7">
        <v>7.5</v>
      </c>
      <c r="BT3" s="7">
        <v>78.2</v>
      </c>
      <c r="BU3" s="8">
        <v>343.1</v>
      </c>
      <c r="BV3" s="24">
        <v>1</v>
      </c>
      <c r="BW3" s="25">
        <v>2</v>
      </c>
      <c r="BX3" s="7">
        <v>32.9</v>
      </c>
      <c r="BY3" s="22">
        <v>2024</v>
      </c>
      <c r="BZ3" s="22" t="s">
        <v>9</v>
      </c>
      <c r="CA3" s="22" t="s">
        <v>10</v>
      </c>
    </row>
    <row r="4" spans="1:79" x14ac:dyDescent="0.35">
      <c r="A4" s="22">
        <v>3</v>
      </c>
      <c r="B4" s="22" t="s">
        <v>3</v>
      </c>
      <c r="C4" s="22" t="s">
        <v>133</v>
      </c>
      <c r="D4" s="22">
        <v>22</v>
      </c>
      <c r="E4" s="6">
        <v>318.75</v>
      </c>
      <c r="F4" s="6">
        <v>57.25</v>
      </c>
      <c r="G4" s="26" t="s">
        <v>4</v>
      </c>
      <c r="H4" s="26">
        <v>3</v>
      </c>
      <c r="I4" s="7">
        <v>4</v>
      </c>
      <c r="J4" s="7">
        <v>4.5</v>
      </c>
      <c r="K4" s="7">
        <v>5</v>
      </c>
      <c r="L4" s="7">
        <v>5</v>
      </c>
      <c r="M4" s="7">
        <v>4.5</v>
      </c>
      <c r="N4" s="7">
        <v>5</v>
      </c>
      <c r="O4" s="7">
        <v>4.5</v>
      </c>
      <c r="P4" s="7">
        <v>42</v>
      </c>
      <c r="Q4" s="8">
        <v>42</v>
      </c>
      <c r="R4" s="24">
        <v>12</v>
      </c>
      <c r="S4" s="25">
        <v>12</v>
      </c>
      <c r="T4" s="7">
        <v>28.5</v>
      </c>
      <c r="U4" s="26" t="s">
        <v>7</v>
      </c>
      <c r="V4" s="5">
        <v>3.1</v>
      </c>
      <c r="W4" s="7">
        <v>7</v>
      </c>
      <c r="X4" s="7">
        <v>7.5</v>
      </c>
      <c r="Y4" s="7">
        <v>7.5</v>
      </c>
      <c r="Z4" s="7">
        <v>7.5</v>
      </c>
      <c r="AA4" s="7">
        <v>7</v>
      </c>
      <c r="AB4" s="7">
        <v>7.5</v>
      </c>
      <c r="AC4" s="7">
        <v>7.5</v>
      </c>
      <c r="AD4" s="7">
        <v>69.75</v>
      </c>
      <c r="AE4" s="8">
        <v>111.75</v>
      </c>
      <c r="AF4" s="24">
        <v>2</v>
      </c>
      <c r="AG4" s="25">
        <v>11</v>
      </c>
      <c r="AH4" s="7">
        <v>35.25</v>
      </c>
      <c r="AI4" s="26" t="s">
        <v>5</v>
      </c>
      <c r="AJ4" s="26">
        <v>3</v>
      </c>
      <c r="AK4" s="7">
        <v>7.5</v>
      </c>
      <c r="AL4" s="7">
        <v>7.5</v>
      </c>
      <c r="AM4" s="7">
        <v>7.5</v>
      </c>
      <c r="AN4" s="7">
        <v>7.5</v>
      </c>
      <c r="AO4" s="7">
        <v>7.5</v>
      </c>
      <c r="AP4" s="7">
        <v>7.5</v>
      </c>
      <c r="AQ4" s="7">
        <v>7.5</v>
      </c>
      <c r="AR4" s="7">
        <v>67.5</v>
      </c>
      <c r="AS4" s="8">
        <v>179.25</v>
      </c>
      <c r="AT4" s="24">
        <v>2</v>
      </c>
      <c r="AU4" s="25">
        <v>7</v>
      </c>
      <c r="AV4" s="7">
        <v>42.75</v>
      </c>
      <c r="AW4" s="26" t="s">
        <v>6</v>
      </c>
      <c r="AX4" s="26">
        <v>3</v>
      </c>
      <c r="AY4" s="7">
        <v>8.5</v>
      </c>
      <c r="AZ4" s="7">
        <v>8</v>
      </c>
      <c r="BA4" s="7">
        <v>8.5</v>
      </c>
      <c r="BB4" s="7">
        <v>8</v>
      </c>
      <c r="BC4" s="7">
        <v>8.5</v>
      </c>
      <c r="BD4" s="7">
        <v>8</v>
      </c>
      <c r="BE4" s="7">
        <v>8.5</v>
      </c>
      <c r="BF4" s="7">
        <v>75</v>
      </c>
      <c r="BG4" s="8">
        <v>254.25</v>
      </c>
      <c r="BH4" s="24">
        <v>2</v>
      </c>
      <c r="BI4" s="25">
        <v>3</v>
      </c>
      <c r="BJ4" s="7">
        <v>45.25</v>
      </c>
      <c r="BK4" s="26" t="s">
        <v>8</v>
      </c>
      <c r="BL4" s="26">
        <v>3</v>
      </c>
      <c r="BM4" s="7">
        <v>7</v>
      </c>
      <c r="BN4" s="7">
        <v>7</v>
      </c>
      <c r="BO4" s="7">
        <v>7</v>
      </c>
      <c r="BP4" s="7">
        <v>7.5</v>
      </c>
      <c r="BQ4" s="7">
        <v>7</v>
      </c>
      <c r="BR4" s="7">
        <v>7.5</v>
      </c>
      <c r="BS4" s="7">
        <v>7.5</v>
      </c>
      <c r="BT4" s="7">
        <v>64.5</v>
      </c>
      <c r="BU4" s="8">
        <v>318.75</v>
      </c>
      <c r="BV4" s="24">
        <v>5</v>
      </c>
      <c r="BW4" s="25">
        <v>3</v>
      </c>
      <c r="BX4" s="7">
        <v>57.25</v>
      </c>
      <c r="BY4" s="22">
        <v>2024</v>
      </c>
      <c r="BZ4" s="22" t="s">
        <v>9</v>
      </c>
      <c r="CA4" s="22" t="s">
        <v>10</v>
      </c>
    </row>
    <row r="5" spans="1:79" x14ac:dyDescent="0.35">
      <c r="A5" s="22">
        <v>4</v>
      </c>
      <c r="B5" s="22" t="s">
        <v>15</v>
      </c>
      <c r="C5" s="22" t="s">
        <v>14</v>
      </c>
      <c r="D5" s="22">
        <v>21</v>
      </c>
      <c r="E5" s="6">
        <v>309.60000000000002</v>
      </c>
      <c r="F5" s="6">
        <v>66.400000000000006</v>
      </c>
      <c r="G5" s="26" t="s">
        <v>5</v>
      </c>
      <c r="H5" s="26">
        <v>3</v>
      </c>
      <c r="I5" s="7">
        <v>5.5</v>
      </c>
      <c r="J5" s="7">
        <v>5.5</v>
      </c>
      <c r="K5" s="7">
        <v>6</v>
      </c>
      <c r="L5" s="7">
        <v>6</v>
      </c>
      <c r="M5" s="7">
        <v>5.5</v>
      </c>
      <c r="N5" s="7">
        <v>6</v>
      </c>
      <c r="O5" s="7">
        <v>6</v>
      </c>
      <c r="P5" s="7">
        <v>52.5</v>
      </c>
      <c r="Q5" s="8">
        <v>52.5</v>
      </c>
      <c r="R5" s="24">
        <v>11</v>
      </c>
      <c r="S5" s="25">
        <v>11</v>
      </c>
      <c r="T5" s="7">
        <v>18</v>
      </c>
      <c r="U5" s="26" t="s">
        <v>8</v>
      </c>
      <c r="V5" s="5">
        <v>3</v>
      </c>
      <c r="W5" s="7">
        <v>7.5</v>
      </c>
      <c r="X5" s="7">
        <v>7</v>
      </c>
      <c r="Y5" s="7">
        <v>7</v>
      </c>
      <c r="Z5" s="7">
        <v>7</v>
      </c>
      <c r="AA5" s="7">
        <v>7</v>
      </c>
      <c r="AB5" s="7">
        <v>7</v>
      </c>
      <c r="AC5" s="7">
        <v>6.5</v>
      </c>
      <c r="AD5" s="7">
        <v>63</v>
      </c>
      <c r="AE5" s="8">
        <v>115.5</v>
      </c>
      <c r="AF5" s="24">
        <v>5</v>
      </c>
      <c r="AG5" s="25">
        <v>9</v>
      </c>
      <c r="AH5" s="7">
        <v>31.5</v>
      </c>
      <c r="AI5" s="26" t="s">
        <v>7</v>
      </c>
      <c r="AJ5" s="26">
        <v>3.1</v>
      </c>
      <c r="AK5" s="7">
        <v>7</v>
      </c>
      <c r="AL5" s="7">
        <v>7</v>
      </c>
      <c r="AM5" s="7">
        <v>7</v>
      </c>
      <c r="AN5" s="7">
        <v>7.5</v>
      </c>
      <c r="AO5" s="7">
        <v>6.5</v>
      </c>
      <c r="AP5" s="7">
        <v>7</v>
      </c>
      <c r="AQ5" s="7">
        <v>7</v>
      </c>
      <c r="AR5" s="7">
        <v>65.099999999999994</v>
      </c>
      <c r="AS5" s="8">
        <v>180.6</v>
      </c>
      <c r="AT5" s="24">
        <v>4</v>
      </c>
      <c r="AU5" s="25">
        <v>6</v>
      </c>
      <c r="AV5" s="7">
        <v>41.4</v>
      </c>
      <c r="AW5" s="26" t="s">
        <v>6</v>
      </c>
      <c r="AX5" s="26">
        <v>3</v>
      </c>
      <c r="AY5" s="7">
        <v>7.5</v>
      </c>
      <c r="AZ5" s="7">
        <v>7.5</v>
      </c>
      <c r="BA5" s="7">
        <v>7</v>
      </c>
      <c r="BB5" s="7">
        <v>7.5</v>
      </c>
      <c r="BC5" s="7">
        <v>7</v>
      </c>
      <c r="BD5" s="7">
        <v>7</v>
      </c>
      <c r="BE5" s="7">
        <v>7.5</v>
      </c>
      <c r="BF5" s="7">
        <v>66</v>
      </c>
      <c r="BG5" s="8">
        <v>246.6</v>
      </c>
      <c r="BH5" s="24">
        <f>4</f>
        <v>4</v>
      </c>
      <c r="BI5" s="25">
        <v>4</v>
      </c>
      <c r="BJ5" s="7">
        <v>52.9</v>
      </c>
      <c r="BK5" s="26" t="s">
        <v>4</v>
      </c>
      <c r="BL5" s="26">
        <v>3</v>
      </c>
      <c r="BM5" s="7">
        <v>7</v>
      </c>
      <c r="BN5" s="7">
        <v>7</v>
      </c>
      <c r="BO5" s="7">
        <v>7</v>
      </c>
      <c r="BP5" s="7">
        <v>6.5</v>
      </c>
      <c r="BQ5" s="7">
        <v>7</v>
      </c>
      <c r="BR5" s="7">
        <v>7</v>
      </c>
      <c r="BS5" s="7">
        <v>7</v>
      </c>
      <c r="BT5" s="7">
        <v>63</v>
      </c>
      <c r="BU5" s="8">
        <v>309.60000000000002</v>
      </c>
      <c r="BV5" s="24">
        <v>6</v>
      </c>
      <c r="BW5" s="25">
        <v>4</v>
      </c>
      <c r="BX5" s="7">
        <v>66.400000000000006</v>
      </c>
      <c r="BY5" s="22">
        <v>2024</v>
      </c>
      <c r="BZ5" s="22" t="s">
        <v>9</v>
      </c>
      <c r="CA5" s="22" t="s">
        <v>10</v>
      </c>
    </row>
    <row r="6" spans="1:79" x14ac:dyDescent="0.35">
      <c r="A6" s="22">
        <v>5</v>
      </c>
      <c r="B6" s="22" t="s">
        <v>17</v>
      </c>
      <c r="C6" s="22" t="s">
        <v>16</v>
      </c>
      <c r="D6" s="22">
        <v>24</v>
      </c>
      <c r="E6" s="6">
        <v>305.10000000000002</v>
      </c>
      <c r="F6" s="6">
        <v>70.900000000000006</v>
      </c>
      <c r="G6" s="26" t="s">
        <v>8</v>
      </c>
      <c r="H6" s="26">
        <v>3</v>
      </c>
      <c r="I6" s="7">
        <v>7</v>
      </c>
      <c r="J6" s="7">
        <v>7</v>
      </c>
      <c r="K6" s="7">
        <v>7</v>
      </c>
      <c r="L6" s="7">
        <v>7.5</v>
      </c>
      <c r="M6" s="7">
        <v>6.5</v>
      </c>
      <c r="N6" s="7">
        <v>7</v>
      </c>
      <c r="O6" s="7">
        <v>7</v>
      </c>
      <c r="P6" s="7">
        <v>63</v>
      </c>
      <c r="Q6" s="8">
        <v>63</v>
      </c>
      <c r="R6" s="24">
        <f>3</f>
        <v>3</v>
      </c>
      <c r="S6" s="25">
        <f>3</f>
        <v>3</v>
      </c>
      <c r="T6" s="7">
        <v>7.5</v>
      </c>
      <c r="U6" s="26" t="s">
        <v>5</v>
      </c>
      <c r="V6" s="5">
        <v>3</v>
      </c>
      <c r="W6" s="7">
        <v>6.5</v>
      </c>
      <c r="X6" s="7">
        <v>6.5</v>
      </c>
      <c r="Y6" s="7">
        <v>6.5</v>
      </c>
      <c r="Z6" s="7">
        <v>7</v>
      </c>
      <c r="AA6" s="7">
        <v>6.5</v>
      </c>
      <c r="AB6" s="7">
        <v>7</v>
      </c>
      <c r="AC6" s="7">
        <v>6.5</v>
      </c>
      <c r="AD6" s="7">
        <v>58.5</v>
      </c>
      <c r="AE6" s="8">
        <v>121.5</v>
      </c>
      <c r="AF6" s="24">
        <f>9</f>
        <v>9</v>
      </c>
      <c r="AG6" s="25">
        <f>4</f>
        <v>4</v>
      </c>
      <c r="AH6" s="7">
        <v>25.5</v>
      </c>
      <c r="AI6" s="26" t="s">
        <v>4</v>
      </c>
      <c r="AJ6" s="26">
        <v>3</v>
      </c>
      <c r="AK6" s="7">
        <v>7</v>
      </c>
      <c r="AL6" s="7">
        <v>6.5</v>
      </c>
      <c r="AM6" s="7">
        <v>6.5</v>
      </c>
      <c r="AN6" s="7">
        <v>7</v>
      </c>
      <c r="AO6" s="7">
        <v>7</v>
      </c>
      <c r="AP6" s="7">
        <v>7</v>
      </c>
      <c r="AQ6" s="7">
        <v>7</v>
      </c>
      <c r="AR6" s="7">
        <v>63</v>
      </c>
      <c r="AS6" s="8">
        <v>184.5</v>
      </c>
      <c r="AT6" s="24">
        <f>5</f>
        <v>5</v>
      </c>
      <c r="AU6" s="25">
        <v>4</v>
      </c>
      <c r="AV6" s="7">
        <v>37.5</v>
      </c>
      <c r="AW6" s="26" t="s">
        <v>6</v>
      </c>
      <c r="AX6" s="26">
        <v>3</v>
      </c>
      <c r="AY6" s="7">
        <v>5.5</v>
      </c>
      <c r="AZ6" s="7">
        <v>7</v>
      </c>
      <c r="BA6" s="7">
        <v>6</v>
      </c>
      <c r="BB6" s="7">
        <v>6</v>
      </c>
      <c r="BC6" s="7">
        <v>6</v>
      </c>
      <c r="BD6" s="7">
        <v>6.5</v>
      </c>
      <c r="BE6" s="7">
        <v>6.5</v>
      </c>
      <c r="BF6" s="7">
        <v>55.5</v>
      </c>
      <c r="BG6" s="8">
        <v>240</v>
      </c>
      <c r="BH6" s="24">
        <f>7</f>
        <v>7</v>
      </c>
      <c r="BI6" s="25">
        <v>6</v>
      </c>
      <c r="BJ6" s="7">
        <v>59.5</v>
      </c>
      <c r="BK6" s="26" t="s">
        <v>7</v>
      </c>
      <c r="BL6" s="26">
        <v>3.1</v>
      </c>
      <c r="BM6" s="7">
        <v>7</v>
      </c>
      <c r="BN6" s="7">
        <v>7.5</v>
      </c>
      <c r="BO6" s="7">
        <v>7</v>
      </c>
      <c r="BP6" s="7">
        <v>7</v>
      </c>
      <c r="BQ6" s="7">
        <v>7</v>
      </c>
      <c r="BR6" s="7">
        <v>7</v>
      </c>
      <c r="BS6" s="7">
        <v>7</v>
      </c>
      <c r="BT6" s="7">
        <v>65.099999999999994</v>
      </c>
      <c r="BU6" s="8">
        <v>305.10000000000002</v>
      </c>
      <c r="BV6" s="24">
        <v>4</v>
      </c>
      <c r="BW6" s="25">
        <v>5</v>
      </c>
      <c r="BX6" s="7">
        <v>70.900000000000006</v>
      </c>
      <c r="BY6" s="22">
        <v>2024</v>
      </c>
      <c r="BZ6" s="22" t="s">
        <v>9</v>
      </c>
      <c r="CA6" s="22" t="s">
        <v>10</v>
      </c>
    </row>
    <row r="7" spans="1:79" x14ac:dyDescent="0.35">
      <c r="A7" s="22">
        <v>6</v>
      </c>
      <c r="B7" s="22" t="s">
        <v>18</v>
      </c>
      <c r="C7" s="22" t="s">
        <v>134</v>
      </c>
      <c r="D7" s="22">
        <v>19</v>
      </c>
      <c r="E7" s="6">
        <v>301.95</v>
      </c>
      <c r="F7" s="6">
        <v>74.05</v>
      </c>
      <c r="G7" s="26" t="s">
        <v>4</v>
      </c>
      <c r="H7" s="26">
        <v>3</v>
      </c>
      <c r="I7" s="7">
        <v>6</v>
      </c>
      <c r="J7" s="7">
        <v>6.5</v>
      </c>
      <c r="K7" s="7">
        <v>6.5</v>
      </c>
      <c r="L7" s="7">
        <v>6.5</v>
      </c>
      <c r="M7" s="7">
        <v>6.5</v>
      </c>
      <c r="N7" s="7">
        <v>6.5</v>
      </c>
      <c r="O7" s="7">
        <v>6</v>
      </c>
      <c r="P7" s="7">
        <v>58.5</v>
      </c>
      <c r="Q7" s="8">
        <v>58.5</v>
      </c>
      <c r="R7" s="24">
        <f>8</f>
        <v>8</v>
      </c>
      <c r="S7" s="25">
        <f>8</f>
        <v>8</v>
      </c>
      <c r="T7" s="7">
        <v>12</v>
      </c>
      <c r="U7" s="26" t="s">
        <v>7</v>
      </c>
      <c r="V7" s="5">
        <v>3.1</v>
      </c>
      <c r="W7" s="7">
        <v>6.5</v>
      </c>
      <c r="X7" s="7">
        <v>6.5</v>
      </c>
      <c r="Y7" s="7">
        <v>6.5</v>
      </c>
      <c r="Z7" s="7">
        <v>6.5</v>
      </c>
      <c r="AA7" s="7">
        <v>6</v>
      </c>
      <c r="AB7" s="7">
        <v>6</v>
      </c>
      <c r="AC7" s="7">
        <v>6.5</v>
      </c>
      <c r="AD7" s="7">
        <v>60.45</v>
      </c>
      <c r="AE7" s="8">
        <v>118.95</v>
      </c>
      <c r="AF7" s="24">
        <f>6</f>
        <v>6</v>
      </c>
      <c r="AG7" s="25">
        <v>7</v>
      </c>
      <c r="AH7" s="7">
        <v>28.05</v>
      </c>
      <c r="AI7" s="26" t="s">
        <v>5</v>
      </c>
      <c r="AJ7" s="26">
        <v>3</v>
      </c>
      <c r="AK7" s="7">
        <v>6</v>
      </c>
      <c r="AL7" s="7">
        <v>7</v>
      </c>
      <c r="AM7" s="7">
        <v>6</v>
      </c>
      <c r="AN7" s="7">
        <v>6</v>
      </c>
      <c r="AO7" s="7">
        <v>6.5</v>
      </c>
      <c r="AP7" s="7">
        <v>6.5</v>
      </c>
      <c r="AQ7" s="7">
        <v>6.5</v>
      </c>
      <c r="AR7" s="7">
        <v>57</v>
      </c>
      <c r="AS7" s="8">
        <v>175.95</v>
      </c>
      <c r="AT7" s="24">
        <v>8</v>
      </c>
      <c r="AU7" s="25">
        <v>8</v>
      </c>
      <c r="AV7" s="7">
        <v>46.05</v>
      </c>
      <c r="AW7" s="26" t="s">
        <v>6</v>
      </c>
      <c r="AX7" s="26">
        <v>3</v>
      </c>
      <c r="AY7" s="7">
        <v>8</v>
      </c>
      <c r="AZ7" s="7">
        <v>8</v>
      </c>
      <c r="BA7" s="7">
        <v>7</v>
      </c>
      <c r="BB7" s="7">
        <v>7</v>
      </c>
      <c r="BC7" s="7">
        <v>7.5</v>
      </c>
      <c r="BD7" s="7">
        <v>7.5</v>
      </c>
      <c r="BE7" s="7">
        <v>7</v>
      </c>
      <c r="BF7" s="7">
        <v>66</v>
      </c>
      <c r="BG7" s="8">
        <v>241.95</v>
      </c>
      <c r="BH7" s="24">
        <f>4</f>
        <v>4</v>
      </c>
      <c r="BI7" s="25">
        <v>5</v>
      </c>
      <c r="BJ7" s="7">
        <v>57.55</v>
      </c>
      <c r="BK7" s="26" t="s">
        <v>8</v>
      </c>
      <c r="BL7" s="26">
        <v>3</v>
      </c>
      <c r="BM7" s="7">
        <v>6.5</v>
      </c>
      <c r="BN7" s="7">
        <v>7</v>
      </c>
      <c r="BO7" s="7">
        <v>7</v>
      </c>
      <c r="BP7" s="7">
        <v>7</v>
      </c>
      <c r="BQ7" s="7">
        <v>6.5</v>
      </c>
      <c r="BR7" s="7">
        <v>6.5</v>
      </c>
      <c r="BS7" s="7">
        <v>6.5</v>
      </c>
      <c r="BT7" s="7">
        <v>60</v>
      </c>
      <c r="BU7" s="8">
        <v>301.95</v>
      </c>
      <c r="BV7" s="24">
        <v>7</v>
      </c>
      <c r="BW7" s="25">
        <v>6</v>
      </c>
      <c r="BX7" s="7">
        <v>74.05</v>
      </c>
      <c r="BY7" s="22">
        <v>2024</v>
      </c>
      <c r="BZ7" s="22" t="s">
        <v>9</v>
      </c>
      <c r="CA7" s="22" t="s">
        <v>10</v>
      </c>
    </row>
    <row r="8" spans="1:79" x14ac:dyDescent="0.35">
      <c r="A8" s="22">
        <v>7</v>
      </c>
      <c r="B8" s="22" t="s">
        <v>20</v>
      </c>
      <c r="C8" s="22" t="s">
        <v>19</v>
      </c>
      <c r="D8" s="22">
        <v>26</v>
      </c>
      <c r="E8" s="6">
        <v>297.35000000000002</v>
      </c>
      <c r="F8" s="6">
        <v>78.650000000000006</v>
      </c>
      <c r="G8" s="26" t="s">
        <v>4</v>
      </c>
      <c r="H8" s="26">
        <v>3</v>
      </c>
      <c r="I8" s="7">
        <v>6.5</v>
      </c>
      <c r="J8" s="7">
        <v>7</v>
      </c>
      <c r="K8" s="7">
        <v>6.5</v>
      </c>
      <c r="L8" s="7">
        <v>6.5</v>
      </c>
      <c r="M8" s="7">
        <v>6.5</v>
      </c>
      <c r="N8" s="7">
        <v>7</v>
      </c>
      <c r="O8" s="7">
        <v>7</v>
      </c>
      <c r="P8" s="7">
        <v>60</v>
      </c>
      <c r="Q8" s="8">
        <v>60</v>
      </c>
      <c r="R8" s="24">
        <f>5</f>
        <v>5</v>
      </c>
      <c r="S8" s="25">
        <f>5</f>
        <v>5</v>
      </c>
      <c r="T8" s="7">
        <v>10.5</v>
      </c>
      <c r="U8" s="26" t="s">
        <v>8</v>
      </c>
      <c r="V8" s="5">
        <v>3</v>
      </c>
      <c r="W8" s="7">
        <v>6.5</v>
      </c>
      <c r="X8" s="7">
        <v>7</v>
      </c>
      <c r="Y8" s="7">
        <v>6.5</v>
      </c>
      <c r="Z8" s="7">
        <v>6.5</v>
      </c>
      <c r="AA8" s="7">
        <v>6.5</v>
      </c>
      <c r="AB8" s="7">
        <v>6.5</v>
      </c>
      <c r="AC8" s="7">
        <v>6.5</v>
      </c>
      <c r="AD8" s="7">
        <v>58.5</v>
      </c>
      <c r="AE8" s="8">
        <v>118.5</v>
      </c>
      <c r="AF8" s="24">
        <f>9</f>
        <v>9</v>
      </c>
      <c r="AG8" s="25">
        <v>8</v>
      </c>
      <c r="AH8" s="7">
        <v>28.5</v>
      </c>
      <c r="AI8" s="26" t="s">
        <v>7</v>
      </c>
      <c r="AJ8" s="26">
        <v>3.1</v>
      </c>
      <c r="AK8" s="7">
        <v>6.5</v>
      </c>
      <c r="AL8" s="7">
        <v>6</v>
      </c>
      <c r="AM8" s="7">
        <v>6.5</v>
      </c>
      <c r="AN8" s="7">
        <v>6</v>
      </c>
      <c r="AO8" s="7">
        <v>6</v>
      </c>
      <c r="AP8" s="7">
        <v>6</v>
      </c>
      <c r="AQ8" s="7">
        <v>6.5</v>
      </c>
      <c r="AR8" s="7">
        <v>57.35</v>
      </c>
      <c r="AS8" s="8">
        <v>175.85</v>
      </c>
      <c r="AT8" s="24">
        <v>7</v>
      </c>
      <c r="AU8" s="25">
        <v>9</v>
      </c>
      <c r="AV8" s="7">
        <v>46.15</v>
      </c>
      <c r="AW8" s="26" t="s">
        <v>6</v>
      </c>
      <c r="AX8" s="26">
        <v>3</v>
      </c>
      <c r="AY8" s="7">
        <v>7</v>
      </c>
      <c r="AZ8" s="7">
        <v>6</v>
      </c>
      <c r="BA8" s="7">
        <v>7</v>
      </c>
      <c r="BB8" s="7">
        <v>7</v>
      </c>
      <c r="BC8" s="7">
        <v>7</v>
      </c>
      <c r="BD8" s="7">
        <v>7</v>
      </c>
      <c r="BE8" s="7">
        <v>6</v>
      </c>
      <c r="BF8" s="7">
        <v>63</v>
      </c>
      <c r="BG8" s="8">
        <v>238.85</v>
      </c>
      <c r="BH8" s="24">
        <v>6</v>
      </c>
      <c r="BI8" s="25">
        <v>7</v>
      </c>
      <c r="BJ8" s="7">
        <v>60.65</v>
      </c>
      <c r="BK8" s="26" t="s">
        <v>5</v>
      </c>
      <c r="BL8" s="26">
        <v>3</v>
      </c>
      <c r="BM8" s="7">
        <v>6.5</v>
      </c>
      <c r="BN8" s="7">
        <v>6.5</v>
      </c>
      <c r="BO8" s="7">
        <v>6.5</v>
      </c>
      <c r="BP8" s="7">
        <v>6.5</v>
      </c>
      <c r="BQ8" s="7">
        <v>6.5</v>
      </c>
      <c r="BR8" s="7">
        <v>6</v>
      </c>
      <c r="BS8" s="7">
        <v>6.5</v>
      </c>
      <c r="BT8" s="7">
        <v>58.5</v>
      </c>
      <c r="BU8" s="8">
        <v>297.35000000000002</v>
      </c>
      <c r="BV8" s="24">
        <f>8</f>
        <v>8</v>
      </c>
      <c r="BW8" s="25">
        <v>7</v>
      </c>
      <c r="BX8" s="7">
        <v>78.650000000000006</v>
      </c>
      <c r="BY8" s="22">
        <v>2024</v>
      </c>
      <c r="BZ8" s="22" t="s">
        <v>9</v>
      </c>
      <c r="CA8" s="22" t="s">
        <v>10</v>
      </c>
    </row>
    <row r="9" spans="1:79" x14ac:dyDescent="0.35">
      <c r="A9" s="22">
        <v>8</v>
      </c>
      <c r="B9" s="22" t="s">
        <v>22</v>
      </c>
      <c r="C9" s="22" t="s">
        <v>21</v>
      </c>
      <c r="D9" s="22">
        <v>21</v>
      </c>
      <c r="E9" s="6">
        <v>292.95</v>
      </c>
      <c r="F9" s="6">
        <v>83.05</v>
      </c>
      <c r="G9" s="26" t="s">
        <v>4</v>
      </c>
      <c r="H9" s="26">
        <v>3</v>
      </c>
      <c r="I9" s="7">
        <v>6.5</v>
      </c>
      <c r="J9" s="7">
        <v>6.5</v>
      </c>
      <c r="K9" s="7">
        <v>6</v>
      </c>
      <c r="L9" s="7">
        <v>7</v>
      </c>
      <c r="M9" s="7">
        <v>7.5</v>
      </c>
      <c r="N9" s="7">
        <v>7.5</v>
      </c>
      <c r="O9" s="7">
        <v>6.5</v>
      </c>
      <c r="P9" s="7">
        <v>60</v>
      </c>
      <c r="Q9" s="8">
        <v>60</v>
      </c>
      <c r="R9" s="24">
        <f>5</f>
        <v>5</v>
      </c>
      <c r="S9" s="25">
        <f>5</f>
        <v>5</v>
      </c>
      <c r="T9" s="7">
        <v>10.5</v>
      </c>
      <c r="U9" s="26" t="s">
        <v>7</v>
      </c>
      <c r="V9" s="5">
        <v>3.1</v>
      </c>
      <c r="W9" s="7">
        <v>6.5</v>
      </c>
      <c r="X9" s="7">
        <v>6</v>
      </c>
      <c r="Y9" s="7">
        <v>6</v>
      </c>
      <c r="Z9" s="7">
        <v>6.5</v>
      </c>
      <c r="AA9" s="7">
        <v>7</v>
      </c>
      <c r="AB9" s="7">
        <v>7</v>
      </c>
      <c r="AC9" s="7">
        <v>6.5</v>
      </c>
      <c r="AD9" s="7">
        <v>60.45</v>
      </c>
      <c r="AE9" s="8">
        <v>120.45</v>
      </c>
      <c r="AF9" s="24">
        <f>6</f>
        <v>6</v>
      </c>
      <c r="AG9" s="25">
        <v>6</v>
      </c>
      <c r="AH9" s="7">
        <v>26.55</v>
      </c>
      <c r="AI9" s="26" t="s">
        <v>23</v>
      </c>
      <c r="AJ9" s="26">
        <v>2.8</v>
      </c>
      <c r="AK9" s="7">
        <v>7.5</v>
      </c>
      <c r="AL9" s="7">
        <v>7.5</v>
      </c>
      <c r="AM9" s="7">
        <v>7.5</v>
      </c>
      <c r="AN9" s="7">
        <v>7.5</v>
      </c>
      <c r="AO9" s="7">
        <v>7.5</v>
      </c>
      <c r="AP9" s="7">
        <v>7</v>
      </c>
      <c r="AQ9" s="7">
        <v>7</v>
      </c>
      <c r="AR9" s="7">
        <v>63</v>
      </c>
      <c r="AS9" s="8">
        <v>183.45</v>
      </c>
      <c r="AT9" s="24">
        <f>5</f>
        <v>5</v>
      </c>
      <c r="AU9" s="25">
        <v>5</v>
      </c>
      <c r="AV9" s="7">
        <v>38.549999999999997</v>
      </c>
      <c r="AW9" s="26" t="s">
        <v>5</v>
      </c>
      <c r="AX9" s="26">
        <v>3</v>
      </c>
      <c r="AY9" s="7">
        <v>5.5</v>
      </c>
      <c r="AZ9" s="7">
        <v>5.5</v>
      </c>
      <c r="BA9" s="7">
        <v>6</v>
      </c>
      <c r="BB9" s="7">
        <v>5.5</v>
      </c>
      <c r="BC9" s="7">
        <v>6</v>
      </c>
      <c r="BD9" s="7">
        <v>6</v>
      </c>
      <c r="BE9" s="7">
        <v>5.5</v>
      </c>
      <c r="BF9" s="7">
        <v>51</v>
      </c>
      <c r="BG9" s="8">
        <v>234.45</v>
      </c>
      <c r="BH9" s="24">
        <v>10</v>
      </c>
      <c r="BI9" s="25">
        <v>8</v>
      </c>
      <c r="BJ9" s="7">
        <v>65.05</v>
      </c>
      <c r="BK9" s="26" t="s">
        <v>8</v>
      </c>
      <c r="BL9" s="26">
        <v>3</v>
      </c>
      <c r="BM9" s="7">
        <v>6.5</v>
      </c>
      <c r="BN9" s="7">
        <v>6.5</v>
      </c>
      <c r="BO9" s="7">
        <v>6.5</v>
      </c>
      <c r="BP9" s="7">
        <v>6.5</v>
      </c>
      <c r="BQ9" s="7">
        <v>6.5</v>
      </c>
      <c r="BR9" s="7">
        <v>6.5</v>
      </c>
      <c r="BS9" s="7">
        <v>6.5</v>
      </c>
      <c r="BT9" s="7">
        <v>58.5</v>
      </c>
      <c r="BU9" s="8">
        <v>292.95</v>
      </c>
      <c r="BV9" s="24">
        <f>8</f>
        <v>8</v>
      </c>
      <c r="BW9" s="25">
        <v>8</v>
      </c>
      <c r="BX9" s="7">
        <v>83.05</v>
      </c>
      <c r="BY9" s="22">
        <v>2024</v>
      </c>
      <c r="BZ9" s="22" t="s">
        <v>9</v>
      </c>
      <c r="CA9" s="22" t="s">
        <v>10</v>
      </c>
    </row>
    <row r="10" spans="1:79" x14ac:dyDescent="0.35">
      <c r="A10" s="22">
        <v>9</v>
      </c>
      <c r="B10" s="22" t="s">
        <v>25</v>
      </c>
      <c r="C10" s="22" t="s">
        <v>24</v>
      </c>
      <c r="D10" s="22">
        <v>21</v>
      </c>
      <c r="E10" s="6">
        <v>279.39999999999998</v>
      </c>
      <c r="F10" s="6">
        <v>96.6</v>
      </c>
      <c r="G10" s="26" t="s">
        <v>5</v>
      </c>
      <c r="H10" s="26">
        <v>3</v>
      </c>
      <c r="I10" s="7">
        <v>7</v>
      </c>
      <c r="J10" s="7">
        <v>7</v>
      </c>
      <c r="K10" s="7">
        <v>6.5</v>
      </c>
      <c r="L10" s="7">
        <v>7</v>
      </c>
      <c r="M10" s="7">
        <v>6.5</v>
      </c>
      <c r="N10" s="7">
        <v>6.5</v>
      </c>
      <c r="O10" s="7">
        <v>6.5</v>
      </c>
      <c r="P10" s="7">
        <v>60</v>
      </c>
      <c r="Q10" s="8">
        <v>60</v>
      </c>
      <c r="R10" s="24">
        <f>5</f>
        <v>5</v>
      </c>
      <c r="S10" s="25">
        <f>5</f>
        <v>5</v>
      </c>
      <c r="T10" s="7">
        <v>10.5</v>
      </c>
      <c r="U10" s="26" t="s">
        <v>7</v>
      </c>
      <c r="V10" s="5">
        <v>3.1</v>
      </c>
      <c r="W10" s="7">
        <v>5</v>
      </c>
      <c r="X10" s="7">
        <v>6.5</v>
      </c>
      <c r="Y10" s="7">
        <v>6</v>
      </c>
      <c r="Z10" s="7">
        <v>6</v>
      </c>
      <c r="AA10" s="7">
        <v>6</v>
      </c>
      <c r="AB10" s="7">
        <v>5.5</v>
      </c>
      <c r="AC10" s="7">
        <v>5.5</v>
      </c>
      <c r="AD10" s="7">
        <v>54.25</v>
      </c>
      <c r="AE10" s="8">
        <v>114.25</v>
      </c>
      <c r="AF10" s="24">
        <v>11</v>
      </c>
      <c r="AG10" s="25">
        <v>10</v>
      </c>
      <c r="AH10" s="7">
        <v>32.75</v>
      </c>
      <c r="AI10" s="26" t="s">
        <v>6</v>
      </c>
      <c r="AJ10" s="26">
        <v>3</v>
      </c>
      <c r="AK10" s="7">
        <v>6</v>
      </c>
      <c r="AL10" s="7">
        <v>6.5</v>
      </c>
      <c r="AM10" s="7">
        <v>5.5</v>
      </c>
      <c r="AN10" s="7">
        <v>6</v>
      </c>
      <c r="AO10" s="7">
        <v>6</v>
      </c>
      <c r="AP10" s="7">
        <v>6</v>
      </c>
      <c r="AQ10" s="7">
        <v>5.5</v>
      </c>
      <c r="AR10" s="7">
        <v>54</v>
      </c>
      <c r="AS10" s="8">
        <v>168.25</v>
      </c>
      <c r="AT10" s="24">
        <f>10</f>
        <v>10</v>
      </c>
      <c r="AU10" s="25">
        <v>10</v>
      </c>
      <c r="AV10" s="7">
        <v>53.75</v>
      </c>
      <c r="AW10" s="26" t="s">
        <v>26</v>
      </c>
      <c r="AX10" s="26">
        <v>2.7</v>
      </c>
      <c r="AY10" s="7">
        <v>6.5</v>
      </c>
      <c r="AZ10" s="7">
        <v>6.5</v>
      </c>
      <c r="BA10" s="7">
        <v>6.5</v>
      </c>
      <c r="BB10" s="7">
        <v>7</v>
      </c>
      <c r="BC10" s="7">
        <v>6.5</v>
      </c>
      <c r="BD10" s="7">
        <v>6.5</v>
      </c>
      <c r="BE10" s="7">
        <v>7</v>
      </c>
      <c r="BF10" s="7">
        <v>52.65</v>
      </c>
      <c r="BG10" s="8">
        <v>220.9</v>
      </c>
      <c r="BH10" s="24">
        <v>9</v>
      </c>
      <c r="BI10" s="25">
        <v>10</v>
      </c>
      <c r="BJ10" s="7">
        <v>78.599999999999994</v>
      </c>
      <c r="BK10" s="26" t="s">
        <v>8</v>
      </c>
      <c r="BL10" s="26">
        <v>3</v>
      </c>
      <c r="BM10" s="7">
        <v>6.5</v>
      </c>
      <c r="BN10" s="7">
        <v>6.5</v>
      </c>
      <c r="BO10" s="7">
        <v>6.5</v>
      </c>
      <c r="BP10" s="7">
        <v>6.5</v>
      </c>
      <c r="BQ10" s="7">
        <v>7</v>
      </c>
      <c r="BR10" s="7">
        <v>6.5</v>
      </c>
      <c r="BS10" s="7">
        <v>6.5</v>
      </c>
      <c r="BT10" s="7">
        <v>58.5</v>
      </c>
      <c r="BU10" s="8">
        <v>279.39999999999998</v>
      </c>
      <c r="BV10" s="24">
        <f>8</f>
        <v>8</v>
      </c>
      <c r="BW10" s="25">
        <v>9</v>
      </c>
      <c r="BX10" s="7">
        <v>96.6</v>
      </c>
      <c r="BY10" s="22">
        <v>2024</v>
      </c>
      <c r="BZ10" s="22" t="s">
        <v>9</v>
      </c>
      <c r="CA10" s="22" t="s">
        <v>10</v>
      </c>
    </row>
    <row r="11" spans="1:79" x14ac:dyDescent="0.35">
      <c r="A11" s="22">
        <v>10</v>
      </c>
      <c r="B11" s="22" t="s">
        <v>17</v>
      </c>
      <c r="C11" s="22" t="s">
        <v>27</v>
      </c>
      <c r="D11" s="22">
        <v>28</v>
      </c>
      <c r="E11" s="6">
        <v>275.85000000000002</v>
      </c>
      <c r="F11" s="6">
        <v>100.15</v>
      </c>
      <c r="G11" s="26" t="s">
        <v>4</v>
      </c>
      <c r="H11" s="26">
        <v>3</v>
      </c>
      <c r="I11" s="7">
        <v>6.5</v>
      </c>
      <c r="J11" s="7">
        <v>6</v>
      </c>
      <c r="K11" s="7">
        <v>6.5</v>
      </c>
      <c r="L11" s="7">
        <v>6.5</v>
      </c>
      <c r="M11" s="7">
        <v>6</v>
      </c>
      <c r="N11" s="7">
        <v>6.5</v>
      </c>
      <c r="O11" s="7">
        <v>6.5</v>
      </c>
      <c r="P11" s="7">
        <v>58.5</v>
      </c>
      <c r="Q11" s="8">
        <v>58.5</v>
      </c>
      <c r="R11" s="24">
        <f>8</f>
        <v>8</v>
      </c>
      <c r="S11" s="25">
        <f>8</f>
        <v>8</v>
      </c>
      <c r="T11" s="7">
        <v>12</v>
      </c>
      <c r="U11" s="26" t="s">
        <v>7</v>
      </c>
      <c r="V11" s="5">
        <v>3.1</v>
      </c>
      <c r="W11" s="7">
        <v>4</v>
      </c>
      <c r="X11" s="7">
        <v>4</v>
      </c>
      <c r="Y11" s="7">
        <v>5</v>
      </c>
      <c r="Z11" s="7">
        <v>4.5</v>
      </c>
      <c r="AA11" s="7">
        <v>4.5</v>
      </c>
      <c r="AB11" s="7">
        <v>4.5</v>
      </c>
      <c r="AC11" s="7">
        <v>4.5</v>
      </c>
      <c r="AD11" s="7">
        <v>41.85</v>
      </c>
      <c r="AE11" s="8">
        <v>100.35</v>
      </c>
      <c r="AF11" s="24">
        <v>12</v>
      </c>
      <c r="AG11" s="25">
        <v>12</v>
      </c>
      <c r="AH11" s="7">
        <v>46.65</v>
      </c>
      <c r="AI11" s="26" t="s">
        <v>6</v>
      </c>
      <c r="AJ11" s="26">
        <v>3</v>
      </c>
      <c r="AK11" s="7">
        <v>6</v>
      </c>
      <c r="AL11" s="7">
        <v>6</v>
      </c>
      <c r="AM11" s="7">
        <v>6</v>
      </c>
      <c r="AN11" s="7">
        <v>6</v>
      </c>
      <c r="AO11" s="7">
        <v>6</v>
      </c>
      <c r="AP11" s="7">
        <v>6</v>
      </c>
      <c r="AQ11" s="7">
        <v>6.5</v>
      </c>
      <c r="AR11" s="7">
        <v>54</v>
      </c>
      <c r="AS11" s="8">
        <v>154.35</v>
      </c>
      <c r="AT11" s="24">
        <f>10</f>
        <v>10</v>
      </c>
      <c r="AU11" s="25">
        <v>12</v>
      </c>
      <c r="AV11" s="7">
        <v>67.650000000000006</v>
      </c>
      <c r="AW11" s="26" t="s">
        <v>5</v>
      </c>
      <c r="AX11" s="26">
        <v>3</v>
      </c>
      <c r="AY11" s="7">
        <v>6</v>
      </c>
      <c r="AZ11" s="7">
        <v>6.5</v>
      </c>
      <c r="BA11" s="7">
        <v>6</v>
      </c>
      <c r="BB11" s="7">
        <v>6.5</v>
      </c>
      <c r="BC11" s="7">
        <v>6</v>
      </c>
      <c r="BD11" s="7">
        <v>6</v>
      </c>
      <c r="BE11" s="7">
        <v>6.5</v>
      </c>
      <c r="BF11" s="7">
        <v>55.5</v>
      </c>
      <c r="BG11" s="8">
        <v>209.85</v>
      </c>
      <c r="BH11" s="24">
        <f>7</f>
        <v>7</v>
      </c>
      <c r="BI11" s="25">
        <v>11</v>
      </c>
      <c r="BJ11" s="7">
        <v>89.65</v>
      </c>
      <c r="BK11" s="26" t="s">
        <v>8</v>
      </c>
      <c r="BL11" s="26">
        <v>3</v>
      </c>
      <c r="BM11" s="7">
        <v>7</v>
      </c>
      <c r="BN11" s="7">
        <v>7</v>
      </c>
      <c r="BO11" s="7">
        <v>7.5</v>
      </c>
      <c r="BP11" s="7">
        <v>7.5</v>
      </c>
      <c r="BQ11" s="7">
        <v>7.5</v>
      </c>
      <c r="BR11" s="7">
        <v>7</v>
      </c>
      <c r="BS11" s="7">
        <v>7.5</v>
      </c>
      <c r="BT11" s="7">
        <v>66</v>
      </c>
      <c r="BU11" s="8">
        <v>275.85000000000002</v>
      </c>
      <c r="BV11" s="24">
        <v>3</v>
      </c>
      <c r="BW11" s="25">
        <v>10</v>
      </c>
      <c r="BX11" s="7">
        <v>100.15</v>
      </c>
      <c r="BY11" s="22">
        <v>2024</v>
      </c>
      <c r="BZ11" s="22" t="s">
        <v>9</v>
      </c>
      <c r="CA11" s="22" t="s">
        <v>10</v>
      </c>
    </row>
    <row r="12" spans="1:79" x14ac:dyDescent="0.35">
      <c r="A12" s="22">
        <v>11</v>
      </c>
      <c r="B12" s="22" t="s">
        <v>29</v>
      </c>
      <c r="C12" s="22" t="s">
        <v>28</v>
      </c>
      <c r="D12" s="22">
        <v>29</v>
      </c>
      <c r="E12" s="6">
        <v>271.25</v>
      </c>
      <c r="F12" s="6">
        <v>104.75</v>
      </c>
      <c r="G12" s="26" t="s">
        <v>4</v>
      </c>
      <c r="H12" s="26">
        <v>3</v>
      </c>
      <c r="I12" s="7">
        <v>6</v>
      </c>
      <c r="J12" s="7">
        <v>5</v>
      </c>
      <c r="K12" s="7">
        <v>6</v>
      </c>
      <c r="L12" s="7">
        <v>6</v>
      </c>
      <c r="M12" s="7">
        <v>5.5</v>
      </c>
      <c r="N12" s="7">
        <v>6</v>
      </c>
      <c r="O12" s="7">
        <v>6</v>
      </c>
      <c r="P12" s="7">
        <v>54</v>
      </c>
      <c r="Q12" s="8">
        <v>54</v>
      </c>
      <c r="R12" s="24">
        <v>10</v>
      </c>
      <c r="S12" s="25">
        <v>10</v>
      </c>
      <c r="T12" s="7">
        <v>16.5</v>
      </c>
      <c r="U12" s="26" t="s">
        <v>5</v>
      </c>
      <c r="V12" s="5">
        <v>3</v>
      </c>
      <c r="W12" s="7">
        <v>7</v>
      </c>
      <c r="X12" s="7">
        <v>7.5</v>
      </c>
      <c r="Y12" s="7">
        <v>7.5</v>
      </c>
      <c r="Z12" s="7">
        <v>7.5</v>
      </c>
      <c r="AA12" s="7">
        <v>7.5</v>
      </c>
      <c r="AB12" s="7">
        <v>7.5</v>
      </c>
      <c r="AC12" s="7">
        <v>7.5</v>
      </c>
      <c r="AD12" s="7">
        <v>67.5</v>
      </c>
      <c r="AE12" s="8">
        <v>121.5</v>
      </c>
      <c r="AF12" s="24">
        <f>3</f>
        <v>3</v>
      </c>
      <c r="AG12" s="25">
        <f>4</f>
        <v>4</v>
      </c>
      <c r="AH12" s="7">
        <v>25.5</v>
      </c>
      <c r="AI12" s="26" t="s">
        <v>6</v>
      </c>
      <c r="AJ12" s="26">
        <v>3</v>
      </c>
      <c r="AK12" s="7">
        <v>7</v>
      </c>
      <c r="AL12" s="7">
        <v>7</v>
      </c>
      <c r="AM12" s="7">
        <v>7.5</v>
      </c>
      <c r="AN12" s="7">
        <v>7.5</v>
      </c>
      <c r="AO12" s="7">
        <v>7.5</v>
      </c>
      <c r="AP12" s="7">
        <v>7</v>
      </c>
      <c r="AQ12" s="7">
        <v>7.5</v>
      </c>
      <c r="AR12" s="7">
        <v>66</v>
      </c>
      <c r="AS12" s="8">
        <v>187.5</v>
      </c>
      <c r="AT12" s="24">
        <v>3</v>
      </c>
      <c r="AU12" s="25">
        <v>3</v>
      </c>
      <c r="AV12" s="7">
        <v>34.5</v>
      </c>
      <c r="AW12" s="26" t="s">
        <v>7</v>
      </c>
      <c r="AX12" s="26">
        <v>3.1</v>
      </c>
      <c r="AY12" s="7">
        <v>4</v>
      </c>
      <c r="AZ12" s="7">
        <v>4</v>
      </c>
      <c r="BA12" s="7">
        <v>4.5</v>
      </c>
      <c r="BB12" s="7">
        <v>4.5</v>
      </c>
      <c r="BC12" s="7">
        <v>3.5</v>
      </c>
      <c r="BD12" s="7">
        <v>4.5</v>
      </c>
      <c r="BE12" s="7">
        <v>4</v>
      </c>
      <c r="BF12" s="7">
        <v>38.75</v>
      </c>
      <c r="BG12" s="8">
        <v>226.25</v>
      </c>
      <c r="BH12" s="24">
        <v>11</v>
      </c>
      <c r="BI12" s="25">
        <v>9</v>
      </c>
      <c r="BJ12" s="7">
        <v>73.25</v>
      </c>
      <c r="BK12" s="26" t="s">
        <v>8</v>
      </c>
      <c r="BL12" s="26">
        <v>3</v>
      </c>
      <c r="BM12" s="7">
        <v>4.5</v>
      </c>
      <c r="BN12" s="7">
        <v>5</v>
      </c>
      <c r="BO12" s="7">
        <v>5</v>
      </c>
      <c r="BP12" s="7">
        <v>5</v>
      </c>
      <c r="BQ12" s="7">
        <v>4.5</v>
      </c>
      <c r="BR12" s="7">
        <v>5</v>
      </c>
      <c r="BS12" s="7">
        <v>5.5</v>
      </c>
      <c r="BT12" s="7">
        <v>45</v>
      </c>
      <c r="BU12" s="8">
        <v>271.25</v>
      </c>
      <c r="BV12" s="24">
        <v>12</v>
      </c>
      <c r="BW12" s="25">
        <v>11</v>
      </c>
      <c r="BX12" s="7">
        <v>104.75</v>
      </c>
      <c r="BY12" s="22">
        <v>2024</v>
      </c>
      <c r="BZ12" s="22" t="s">
        <v>9</v>
      </c>
      <c r="CA12" s="22" t="s">
        <v>10</v>
      </c>
    </row>
    <row r="13" spans="1:79" x14ac:dyDescent="0.35">
      <c r="A13" s="22">
        <v>12</v>
      </c>
      <c r="B13" s="22" t="s">
        <v>30</v>
      </c>
      <c r="C13" s="22" t="s">
        <v>35</v>
      </c>
      <c r="D13" s="22">
        <v>25</v>
      </c>
      <c r="E13" s="6">
        <v>244.8</v>
      </c>
      <c r="F13" s="6">
        <v>131.19999999999999</v>
      </c>
      <c r="G13" s="26" t="s">
        <v>4</v>
      </c>
      <c r="H13" s="26">
        <v>3</v>
      </c>
      <c r="I13" s="7">
        <v>7</v>
      </c>
      <c r="J13" s="7">
        <v>7</v>
      </c>
      <c r="K13" s="7">
        <v>7</v>
      </c>
      <c r="L13" s="7">
        <v>7</v>
      </c>
      <c r="M13" s="7">
        <v>7</v>
      </c>
      <c r="N13" s="7">
        <v>7</v>
      </c>
      <c r="O13" s="7">
        <v>7</v>
      </c>
      <c r="P13" s="7">
        <v>63</v>
      </c>
      <c r="Q13" s="8">
        <v>63</v>
      </c>
      <c r="R13" s="24">
        <f>3</f>
        <v>3</v>
      </c>
      <c r="S13" s="25">
        <f>3</f>
        <v>3</v>
      </c>
      <c r="T13" s="7">
        <v>7.5</v>
      </c>
      <c r="U13" s="26" t="s">
        <v>8</v>
      </c>
      <c r="V13" s="5">
        <v>3</v>
      </c>
      <c r="W13" s="7">
        <v>6.5</v>
      </c>
      <c r="X13" s="7">
        <v>7</v>
      </c>
      <c r="Y13" s="7">
        <v>6.5</v>
      </c>
      <c r="Z13" s="7">
        <v>7</v>
      </c>
      <c r="AA13" s="7">
        <v>6</v>
      </c>
      <c r="AB13" s="7">
        <v>7</v>
      </c>
      <c r="AC13" s="7">
        <v>6.5</v>
      </c>
      <c r="AD13" s="7">
        <v>60</v>
      </c>
      <c r="AE13" s="8">
        <v>123</v>
      </c>
      <c r="AF13" s="24">
        <v>8</v>
      </c>
      <c r="AG13" s="25">
        <v>3</v>
      </c>
      <c r="AH13" s="7">
        <v>24</v>
      </c>
      <c r="AI13" s="26" t="s">
        <v>5</v>
      </c>
      <c r="AJ13" s="26">
        <v>3</v>
      </c>
      <c r="AK13" s="7">
        <v>4</v>
      </c>
      <c r="AL13" s="7">
        <v>5</v>
      </c>
      <c r="AM13" s="7">
        <v>4.5</v>
      </c>
      <c r="AN13" s="7">
        <v>4.5</v>
      </c>
      <c r="AO13" s="7">
        <v>4</v>
      </c>
      <c r="AP13" s="7">
        <v>4</v>
      </c>
      <c r="AQ13" s="7">
        <v>4</v>
      </c>
      <c r="AR13" s="7">
        <v>37.5</v>
      </c>
      <c r="AS13" s="8">
        <v>160.5</v>
      </c>
      <c r="AT13" s="24">
        <v>12</v>
      </c>
      <c r="AU13" s="25">
        <v>11</v>
      </c>
      <c r="AV13" s="7">
        <v>61.5</v>
      </c>
      <c r="AW13" s="26" t="s">
        <v>6</v>
      </c>
      <c r="AX13" s="26">
        <v>3</v>
      </c>
      <c r="AY13" s="7">
        <v>3.5</v>
      </c>
      <c r="AZ13" s="7">
        <v>3.5</v>
      </c>
      <c r="BA13" s="7">
        <v>3</v>
      </c>
      <c r="BB13" s="7">
        <v>2.5</v>
      </c>
      <c r="BC13" s="7">
        <v>3</v>
      </c>
      <c r="BD13" s="7">
        <v>3</v>
      </c>
      <c r="BE13" s="7">
        <v>3.5</v>
      </c>
      <c r="BF13" s="7">
        <v>28.5</v>
      </c>
      <c r="BG13" s="8">
        <v>189</v>
      </c>
      <c r="BH13" s="24">
        <v>12</v>
      </c>
      <c r="BI13" s="25">
        <v>12</v>
      </c>
      <c r="BJ13" s="7">
        <v>110.5</v>
      </c>
      <c r="BK13" s="26" t="s">
        <v>7</v>
      </c>
      <c r="BL13" s="26">
        <v>3.1</v>
      </c>
      <c r="BM13" s="7">
        <v>6</v>
      </c>
      <c r="BN13" s="7">
        <v>6</v>
      </c>
      <c r="BO13" s="7">
        <v>6</v>
      </c>
      <c r="BP13" s="7">
        <v>5.5</v>
      </c>
      <c r="BQ13" s="7">
        <v>6</v>
      </c>
      <c r="BR13" s="7">
        <v>5.5</v>
      </c>
      <c r="BS13" s="7">
        <v>6</v>
      </c>
      <c r="BT13" s="7">
        <v>55.8</v>
      </c>
      <c r="BU13" s="8">
        <v>244.8</v>
      </c>
      <c r="BV13" s="24">
        <v>11</v>
      </c>
      <c r="BW13" s="25">
        <v>12</v>
      </c>
      <c r="BX13" s="7">
        <v>131.19999999999999</v>
      </c>
      <c r="BY13" s="22">
        <v>2024</v>
      </c>
      <c r="BZ13" s="22" t="s">
        <v>9</v>
      </c>
      <c r="CA13" s="22" t="s">
        <v>10</v>
      </c>
    </row>
    <row r="14" spans="1:79" x14ac:dyDescent="0.35">
      <c r="A14" s="23">
        <v>1</v>
      </c>
      <c r="B14" s="23" t="s">
        <v>3</v>
      </c>
      <c r="C14" s="23" t="s">
        <v>31</v>
      </c>
      <c r="D14" s="22">
        <v>29</v>
      </c>
      <c r="E14" s="6">
        <v>383.5</v>
      </c>
      <c r="F14" s="6">
        <v>0</v>
      </c>
      <c r="G14" s="26" t="s">
        <v>4</v>
      </c>
      <c r="H14" s="26">
        <v>3</v>
      </c>
      <c r="I14" s="7">
        <v>8</v>
      </c>
      <c r="J14" s="7">
        <v>8.5</v>
      </c>
      <c r="K14" s="7">
        <v>8.5</v>
      </c>
      <c r="L14" s="7">
        <v>8.5</v>
      </c>
      <c r="M14" s="7">
        <v>8.5</v>
      </c>
      <c r="N14" s="7">
        <v>8.5</v>
      </c>
      <c r="O14" s="7">
        <v>8.5</v>
      </c>
      <c r="P14" s="7">
        <v>76.5</v>
      </c>
      <c r="Q14" s="8">
        <v>76.5</v>
      </c>
      <c r="R14" s="24">
        <v>1</v>
      </c>
      <c r="S14" s="25">
        <v>1</v>
      </c>
      <c r="T14" s="7">
        <v>0</v>
      </c>
      <c r="U14" s="26" t="s">
        <v>5</v>
      </c>
      <c r="V14" s="5">
        <v>3</v>
      </c>
      <c r="W14" s="7">
        <v>8</v>
      </c>
      <c r="X14" s="7">
        <v>8.5</v>
      </c>
      <c r="Y14" s="7">
        <v>9</v>
      </c>
      <c r="Z14" s="7">
        <v>8.5</v>
      </c>
      <c r="AA14" s="7">
        <v>8.5</v>
      </c>
      <c r="AB14" s="7">
        <v>8.5</v>
      </c>
      <c r="AC14" s="7">
        <v>8</v>
      </c>
      <c r="AD14" s="7">
        <v>76.5</v>
      </c>
      <c r="AE14" s="8">
        <v>153</v>
      </c>
      <c r="AF14" s="24">
        <v>1</v>
      </c>
      <c r="AG14" s="25">
        <v>1</v>
      </c>
      <c r="AH14" s="7">
        <v>0</v>
      </c>
      <c r="AI14" s="26" t="s">
        <v>6</v>
      </c>
      <c r="AJ14" s="26">
        <v>3</v>
      </c>
      <c r="AK14" s="7">
        <v>8</v>
      </c>
      <c r="AL14" s="7">
        <v>8</v>
      </c>
      <c r="AM14" s="7">
        <v>9</v>
      </c>
      <c r="AN14" s="7">
        <v>8.5</v>
      </c>
      <c r="AO14" s="7">
        <v>8.5</v>
      </c>
      <c r="AP14" s="7">
        <v>8.5</v>
      </c>
      <c r="AQ14" s="7">
        <v>8</v>
      </c>
      <c r="AR14" s="7">
        <v>75</v>
      </c>
      <c r="AS14" s="8">
        <v>228</v>
      </c>
      <c r="AT14" s="24">
        <v>1</v>
      </c>
      <c r="AU14" s="25">
        <v>1</v>
      </c>
      <c r="AV14" s="7">
        <v>0</v>
      </c>
      <c r="AW14" s="26" t="s">
        <v>7</v>
      </c>
      <c r="AX14" s="26">
        <v>3.1</v>
      </c>
      <c r="AY14" s="7">
        <v>9</v>
      </c>
      <c r="AZ14" s="7">
        <v>8.5</v>
      </c>
      <c r="BA14" s="7">
        <v>8.5</v>
      </c>
      <c r="BB14" s="7">
        <v>8</v>
      </c>
      <c r="BC14" s="7">
        <v>8</v>
      </c>
      <c r="BD14" s="7">
        <v>8</v>
      </c>
      <c r="BE14" s="7">
        <v>8.5</v>
      </c>
      <c r="BF14" s="7">
        <v>77.5</v>
      </c>
      <c r="BG14" s="8">
        <v>305.5</v>
      </c>
      <c r="BH14" s="24">
        <v>1</v>
      </c>
      <c r="BI14" s="25">
        <v>1</v>
      </c>
      <c r="BJ14" s="7">
        <v>0</v>
      </c>
      <c r="BK14" s="26" t="s">
        <v>8</v>
      </c>
      <c r="BL14" s="26">
        <v>3</v>
      </c>
      <c r="BM14" s="7">
        <v>8.5</v>
      </c>
      <c r="BN14" s="7">
        <v>9</v>
      </c>
      <c r="BO14" s="7">
        <v>9</v>
      </c>
      <c r="BP14" s="7">
        <v>8.5</v>
      </c>
      <c r="BQ14" s="7">
        <v>9</v>
      </c>
      <c r="BR14" s="7">
        <v>8.5</v>
      </c>
      <c r="BS14" s="7">
        <v>8.5</v>
      </c>
      <c r="BT14" s="7">
        <v>78</v>
      </c>
      <c r="BU14" s="8">
        <v>383.5</v>
      </c>
      <c r="BV14" s="24">
        <v>1</v>
      </c>
      <c r="BW14" s="25">
        <v>1</v>
      </c>
      <c r="BX14" s="7">
        <v>0</v>
      </c>
      <c r="BY14" s="22">
        <v>2020</v>
      </c>
      <c r="BZ14" s="22" t="s">
        <v>9</v>
      </c>
      <c r="CA14" s="22" t="s">
        <v>10</v>
      </c>
    </row>
    <row r="15" spans="1:79" x14ac:dyDescent="0.35">
      <c r="A15" s="22">
        <v>2</v>
      </c>
      <c r="B15" s="22" t="s">
        <v>3</v>
      </c>
      <c r="C15" s="22" t="s">
        <v>32</v>
      </c>
      <c r="D15" s="22">
        <v>30</v>
      </c>
      <c r="E15" s="6">
        <v>348.75</v>
      </c>
      <c r="F15" s="6">
        <v>34.75</v>
      </c>
      <c r="G15" s="26" t="s">
        <v>4</v>
      </c>
      <c r="H15" s="26">
        <v>3</v>
      </c>
      <c r="I15" s="7">
        <v>8.5</v>
      </c>
      <c r="J15" s="7">
        <v>8.5</v>
      </c>
      <c r="K15" s="7">
        <v>8</v>
      </c>
      <c r="L15" s="7">
        <v>8</v>
      </c>
      <c r="M15" s="7">
        <v>8</v>
      </c>
      <c r="N15" s="7">
        <v>8</v>
      </c>
      <c r="O15" s="7">
        <v>7.5</v>
      </c>
      <c r="P15" s="7">
        <v>72</v>
      </c>
      <c r="Q15" s="8">
        <v>72</v>
      </c>
      <c r="R15" s="24">
        <v>2</v>
      </c>
      <c r="S15" s="25">
        <v>2</v>
      </c>
      <c r="T15" s="7">
        <v>4.5</v>
      </c>
      <c r="U15" s="26" t="s">
        <v>5</v>
      </c>
      <c r="V15" s="5">
        <v>3</v>
      </c>
      <c r="W15" s="7">
        <v>8</v>
      </c>
      <c r="X15" s="7">
        <v>7.5</v>
      </c>
      <c r="Y15" s="7">
        <v>7.5</v>
      </c>
      <c r="Z15" s="7">
        <v>7.5</v>
      </c>
      <c r="AA15" s="7">
        <v>6.5</v>
      </c>
      <c r="AB15" s="7">
        <v>8</v>
      </c>
      <c r="AC15" s="7">
        <v>7</v>
      </c>
      <c r="AD15" s="7">
        <v>67.5</v>
      </c>
      <c r="AE15" s="8">
        <v>139.5</v>
      </c>
      <c r="AF15" s="24">
        <v>3</v>
      </c>
      <c r="AG15" s="25">
        <v>2</v>
      </c>
      <c r="AH15" s="7">
        <v>13.5</v>
      </c>
      <c r="AI15" s="26" t="s">
        <v>6</v>
      </c>
      <c r="AJ15" s="26">
        <v>3</v>
      </c>
      <c r="AK15" s="7">
        <v>7.5</v>
      </c>
      <c r="AL15" s="7">
        <v>7</v>
      </c>
      <c r="AM15" s="7">
        <v>7.5</v>
      </c>
      <c r="AN15" s="7">
        <v>7</v>
      </c>
      <c r="AO15" s="7">
        <v>8</v>
      </c>
      <c r="AP15" s="7">
        <v>7.5</v>
      </c>
      <c r="AQ15" s="7">
        <v>7</v>
      </c>
      <c r="AR15" s="7">
        <v>66</v>
      </c>
      <c r="AS15" s="8">
        <v>205.5</v>
      </c>
      <c r="AT15" s="24">
        <f>3</f>
        <v>3</v>
      </c>
      <c r="AU15" s="25">
        <v>2</v>
      </c>
      <c r="AV15" s="7">
        <v>22.5</v>
      </c>
      <c r="AW15" s="26" t="s">
        <v>7</v>
      </c>
      <c r="AX15" s="26">
        <v>3.1</v>
      </c>
      <c r="AY15" s="7">
        <v>8.5</v>
      </c>
      <c r="AZ15" s="7">
        <v>7.5</v>
      </c>
      <c r="BA15" s="7">
        <v>7.5</v>
      </c>
      <c r="BB15" s="7">
        <v>8</v>
      </c>
      <c r="BC15" s="7">
        <v>7</v>
      </c>
      <c r="BD15" s="7">
        <v>7.5</v>
      </c>
      <c r="BE15" s="7">
        <v>7.5</v>
      </c>
      <c r="BF15" s="7">
        <v>69.75</v>
      </c>
      <c r="BG15" s="8">
        <v>275.25</v>
      </c>
      <c r="BH15" s="24">
        <v>2</v>
      </c>
      <c r="BI15" s="25">
        <v>2</v>
      </c>
      <c r="BJ15" s="7">
        <v>30.25</v>
      </c>
      <c r="BK15" s="26" t="s">
        <v>8</v>
      </c>
      <c r="BL15" s="26">
        <v>3</v>
      </c>
      <c r="BM15" s="7">
        <v>8</v>
      </c>
      <c r="BN15" s="7">
        <v>8</v>
      </c>
      <c r="BO15" s="7">
        <v>8</v>
      </c>
      <c r="BP15" s="7">
        <v>8.5</v>
      </c>
      <c r="BQ15" s="7">
        <v>8</v>
      </c>
      <c r="BR15" s="7">
        <v>9</v>
      </c>
      <c r="BS15" s="7">
        <v>8.5</v>
      </c>
      <c r="BT15" s="7">
        <v>73.5</v>
      </c>
      <c r="BU15" s="8">
        <v>348.75</v>
      </c>
      <c r="BV15" s="24">
        <v>2</v>
      </c>
      <c r="BW15" s="25">
        <v>2</v>
      </c>
      <c r="BX15" s="7">
        <v>34.75</v>
      </c>
      <c r="BY15" s="22">
        <v>2020</v>
      </c>
      <c r="BZ15" s="22" t="s">
        <v>9</v>
      </c>
      <c r="CA15" s="22" t="s">
        <v>10</v>
      </c>
    </row>
    <row r="16" spans="1:79" x14ac:dyDescent="0.35">
      <c r="A16" s="22">
        <v>3</v>
      </c>
      <c r="B16" s="22" t="s">
        <v>34</v>
      </c>
      <c r="C16" s="22" t="s">
        <v>33</v>
      </c>
      <c r="D16" s="22">
        <v>29</v>
      </c>
      <c r="E16" s="6">
        <v>343.75</v>
      </c>
      <c r="F16" s="6">
        <v>39.75</v>
      </c>
      <c r="G16" s="26" t="s">
        <v>4</v>
      </c>
      <c r="H16" s="26">
        <v>3</v>
      </c>
      <c r="I16" s="7">
        <v>7.5</v>
      </c>
      <c r="J16" s="7">
        <v>8</v>
      </c>
      <c r="K16" s="7">
        <v>7.5</v>
      </c>
      <c r="L16" s="7">
        <v>7.5</v>
      </c>
      <c r="M16" s="7">
        <v>7</v>
      </c>
      <c r="N16" s="7">
        <v>7.5</v>
      </c>
      <c r="O16" s="7">
        <v>7.5</v>
      </c>
      <c r="P16" s="7">
        <v>67.5</v>
      </c>
      <c r="Q16" s="8">
        <v>67.5</v>
      </c>
      <c r="R16" s="24">
        <f>3</f>
        <v>3</v>
      </c>
      <c r="S16" s="25">
        <f>3</f>
        <v>3</v>
      </c>
      <c r="T16" s="7">
        <v>9</v>
      </c>
      <c r="U16" s="26" t="s">
        <v>5</v>
      </c>
      <c r="V16" s="5">
        <v>3</v>
      </c>
      <c r="W16" s="7">
        <v>7.5</v>
      </c>
      <c r="X16" s="7">
        <v>6.5</v>
      </c>
      <c r="Y16" s="7">
        <v>7</v>
      </c>
      <c r="Z16" s="7">
        <v>7</v>
      </c>
      <c r="AA16" s="7">
        <v>7</v>
      </c>
      <c r="AB16" s="7">
        <v>7</v>
      </c>
      <c r="AC16" s="7">
        <v>7</v>
      </c>
      <c r="AD16" s="7">
        <v>63</v>
      </c>
      <c r="AE16" s="8">
        <v>130.5</v>
      </c>
      <c r="AF16" s="24">
        <f>5</f>
        <v>5</v>
      </c>
      <c r="AG16" s="25">
        <v>4</v>
      </c>
      <c r="AH16" s="7">
        <v>22.5</v>
      </c>
      <c r="AI16" s="26" t="s">
        <v>6</v>
      </c>
      <c r="AJ16" s="26">
        <v>3</v>
      </c>
      <c r="AK16" s="7">
        <v>8.5</v>
      </c>
      <c r="AL16" s="7">
        <v>7.5</v>
      </c>
      <c r="AM16" s="7">
        <v>7.5</v>
      </c>
      <c r="AN16" s="7">
        <v>8.5</v>
      </c>
      <c r="AO16" s="7">
        <v>8</v>
      </c>
      <c r="AP16" s="7">
        <v>8</v>
      </c>
      <c r="AQ16" s="7">
        <v>8.5</v>
      </c>
      <c r="AR16" s="7">
        <v>73.5</v>
      </c>
      <c r="AS16" s="8">
        <v>204</v>
      </c>
      <c r="AT16" s="24">
        <v>2</v>
      </c>
      <c r="AU16" s="25">
        <v>3</v>
      </c>
      <c r="AV16" s="7">
        <v>24</v>
      </c>
      <c r="AW16" s="26" t="s">
        <v>7</v>
      </c>
      <c r="AX16" s="26">
        <v>3.1</v>
      </c>
      <c r="AY16" s="7">
        <v>7</v>
      </c>
      <c r="AZ16" s="7">
        <v>7.5</v>
      </c>
      <c r="BA16" s="7">
        <v>7</v>
      </c>
      <c r="BB16" s="7">
        <v>7.5</v>
      </c>
      <c r="BC16" s="7">
        <v>7</v>
      </c>
      <c r="BD16" s="7">
        <v>7</v>
      </c>
      <c r="BE16" s="7">
        <v>7.5</v>
      </c>
      <c r="BF16" s="7">
        <v>66.650000000000006</v>
      </c>
      <c r="BG16" s="8">
        <v>270.64999999999998</v>
      </c>
      <c r="BH16" s="24">
        <v>4</v>
      </c>
      <c r="BI16" s="25">
        <v>3</v>
      </c>
      <c r="BJ16" s="7">
        <v>34.85</v>
      </c>
      <c r="BK16" s="26" t="s">
        <v>13</v>
      </c>
      <c r="BL16" s="26">
        <v>3.4</v>
      </c>
      <c r="BM16" s="7">
        <v>7</v>
      </c>
      <c r="BN16" s="7">
        <v>7.5</v>
      </c>
      <c r="BO16" s="7">
        <v>7</v>
      </c>
      <c r="BP16" s="7">
        <v>7</v>
      </c>
      <c r="BQ16" s="7">
        <v>8</v>
      </c>
      <c r="BR16" s="7">
        <v>7.5</v>
      </c>
      <c r="BS16" s="7">
        <v>6.5</v>
      </c>
      <c r="BT16" s="7">
        <v>73.099999999999994</v>
      </c>
      <c r="BU16" s="8">
        <v>343.75</v>
      </c>
      <c r="BV16" s="24">
        <v>3</v>
      </c>
      <c r="BW16" s="25">
        <v>3</v>
      </c>
      <c r="BX16" s="7">
        <v>39.75</v>
      </c>
      <c r="BY16" s="22">
        <v>2020</v>
      </c>
      <c r="BZ16" s="22" t="s">
        <v>9</v>
      </c>
      <c r="CA16" s="22" t="s">
        <v>10</v>
      </c>
    </row>
    <row r="17" spans="1:79" x14ac:dyDescent="0.35">
      <c r="A17" s="22">
        <v>4</v>
      </c>
      <c r="B17" s="22" t="s">
        <v>30</v>
      </c>
      <c r="C17" s="22" t="s">
        <v>35</v>
      </c>
      <c r="D17" s="22">
        <v>22</v>
      </c>
      <c r="E17" s="6">
        <v>326.14999999999998</v>
      </c>
      <c r="F17" s="6">
        <v>57.35</v>
      </c>
      <c r="G17" s="26" t="s">
        <v>4</v>
      </c>
      <c r="H17" s="26">
        <v>3</v>
      </c>
      <c r="I17" s="7">
        <v>7</v>
      </c>
      <c r="J17" s="7">
        <v>7.5</v>
      </c>
      <c r="K17" s="7">
        <v>7</v>
      </c>
      <c r="L17" s="7">
        <v>7</v>
      </c>
      <c r="M17" s="7">
        <v>7</v>
      </c>
      <c r="N17" s="7">
        <v>7</v>
      </c>
      <c r="O17" s="7">
        <v>6.5</v>
      </c>
      <c r="P17" s="7">
        <v>63</v>
      </c>
      <c r="Q17" s="8">
        <v>63</v>
      </c>
      <c r="R17" s="24">
        <f>6</f>
        <v>6</v>
      </c>
      <c r="S17" s="25">
        <f>6</f>
        <v>6</v>
      </c>
      <c r="T17" s="7">
        <v>13.5</v>
      </c>
      <c r="U17" s="26" t="s">
        <v>7</v>
      </c>
      <c r="V17" s="5">
        <v>3.1</v>
      </c>
      <c r="W17" s="7">
        <v>7</v>
      </c>
      <c r="X17" s="7">
        <v>7.5</v>
      </c>
      <c r="Y17" s="7">
        <v>7.5</v>
      </c>
      <c r="Z17" s="7">
        <v>7</v>
      </c>
      <c r="AA17" s="7">
        <v>7</v>
      </c>
      <c r="AB17" s="7">
        <v>7.5</v>
      </c>
      <c r="AC17" s="7">
        <v>7</v>
      </c>
      <c r="AD17" s="7">
        <v>66.650000000000006</v>
      </c>
      <c r="AE17" s="8">
        <v>129.65</v>
      </c>
      <c r="AF17" s="24">
        <v>4</v>
      </c>
      <c r="AG17" s="25">
        <v>5</v>
      </c>
      <c r="AH17" s="7">
        <v>23.35</v>
      </c>
      <c r="AI17" s="26" t="s">
        <v>5</v>
      </c>
      <c r="AJ17" s="26">
        <v>3</v>
      </c>
      <c r="AK17" s="7">
        <v>7</v>
      </c>
      <c r="AL17" s="7">
        <v>6</v>
      </c>
      <c r="AM17" s="7">
        <v>7</v>
      </c>
      <c r="AN17" s="7">
        <v>6.5</v>
      </c>
      <c r="AO17" s="7">
        <v>7</v>
      </c>
      <c r="AP17" s="7">
        <v>6</v>
      </c>
      <c r="AQ17" s="7">
        <v>7</v>
      </c>
      <c r="AR17" s="7">
        <v>61.5</v>
      </c>
      <c r="AS17" s="8">
        <v>191.15</v>
      </c>
      <c r="AT17" s="24">
        <f>6</f>
        <v>6</v>
      </c>
      <c r="AU17" s="25">
        <v>4</v>
      </c>
      <c r="AV17" s="7">
        <v>36.85</v>
      </c>
      <c r="AW17" s="26" t="s">
        <v>6</v>
      </c>
      <c r="AX17" s="26">
        <v>3</v>
      </c>
      <c r="AY17" s="7">
        <v>7.5</v>
      </c>
      <c r="AZ17" s="7">
        <v>7.5</v>
      </c>
      <c r="BA17" s="7">
        <v>8</v>
      </c>
      <c r="BB17" s="7">
        <v>7.5</v>
      </c>
      <c r="BC17" s="7">
        <v>7.5</v>
      </c>
      <c r="BD17" s="7">
        <v>7</v>
      </c>
      <c r="BE17" s="7">
        <v>7.5</v>
      </c>
      <c r="BF17" s="7">
        <v>67.5</v>
      </c>
      <c r="BG17" s="8">
        <v>258.64999999999998</v>
      </c>
      <c r="BH17" s="24">
        <v>3</v>
      </c>
      <c r="BI17" s="25">
        <v>4</v>
      </c>
      <c r="BJ17" s="7">
        <v>46.85</v>
      </c>
      <c r="BK17" s="26" t="s">
        <v>8</v>
      </c>
      <c r="BL17" s="26">
        <v>3</v>
      </c>
      <c r="BM17" s="7">
        <v>7.5</v>
      </c>
      <c r="BN17" s="7">
        <v>7.5</v>
      </c>
      <c r="BO17" s="7">
        <v>7.5</v>
      </c>
      <c r="BP17" s="7">
        <v>7.5</v>
      </c>
      <c r="BQ17" s="7">
        <v>7.5</v>
      </c>
      <c r="BR17" s="7">
        <v>8</v>
      </c>
      <c r="BS17" s="7">
        <v>7.5</v>
      </c>
      <c r="BT17" s="7">
        <v>67.5</v>
      </c>
      <c r="BU17" s="8">
        <v>326.14999999999998</v>
      </c>
      <c r="BV17" s="24">
        <f>4</f>
        <v>4</v>
      </c>
      <c r="BW17" s="25">
        <v>4</v>
      </c>
      <c r="BX17" s="7">
        <v>57.35</v>
      </c>
      <c r="BY17" s="22">
        <v>2020</v>
      </c>
      <c r="BZ17" s="22" t="s">
        <v>9</v>
      </c>
      <c r="CA17" s="22" t="s">
        <v>10</v>
      </c>
    </row>
    <row r="18" spans="1:79" x14ac:dyDescent="0.35">
      <c r="A18" s="22">
        <v>5</v>
      </c>
      <c r="B18" s="22" t="s">
        <v>37</v>
      </c>
      <c r="C18" s="22" t="s">
        <v>36</v>
      </c>
      <c r="D18" s="22">
        <v>27</v>
      </c>
      <c r="E18" s="6">
        <v>311.05</v>
      </c>
      <c r="F18" s="6">
        <v>72.45</v>
      </c>
      <c r="G18" s="26" t="s">
        <v>5</v>
      </c>
      <c r="H18" s="26">
        <v>3</v>
      </c>
      <c r="I18" s="7">
        <v>7</v>
      </c>
      <c r="J18" s="7">
        <v>7</v>
      </c>
      <c r="K18" s="7">
        <v>7</v>
      </c>
      <c r="L18" s="7">
        <v>7.5</v>
      </c>
      <c r="M18" s="7">
        <v>7</v>
      </c>
      <c r="N18" s="7">
        <v>7.5</v>
      </c>
      <c r="O18" s="7">
        <v>7</v>
      </c>
      <c r="P18" s="7">
        <v>63</v>
      </c>
      <c r="Q18" s="8">
        <v>63</v>
      </c>
      <c r="R18" s="24">
        <f>6</f>
        <v>6</v>
      </c>
      <c r="S18" s="25">
        <f>6</f>
        <v>6</v>
      </c>
      <c r="T18" s="7">
        <v>13.5</v>
      </c>
      <c r="U18" s="26" t="s">
        <v>8</v>
      </c>
      <c r="V18" s="5">
        <v>3</v>
      </c>
      <c r="W18" s="7">
        <v>6.5</v>
      </c>
      <c r="X18" s="7">
        <v>7</v>
      </c>
      <c r="Y18" s="7">
        <v>7</v>
      </c>
      <c r="Z18" s="7">
        <v>7</v>
      </c>
      <c r="AA18" s="7">
        <v>7</v>
      </c>
      <c r="AB18" s="7">
        <v>7</v>
      </c>
      <c r="AC18" s="7">
        <v>7</v>
      </c>
      <c r="AD18" s="7">
        <v>63</v>
      </c>
      <c r="AE18" s="8">
        <v>126</v>
      </c>
      <c r="AF18" s="24">
        <f>5</f>
        <v>5</v>
      </c>
      <c r="AG18" s="25">
        <v>6</v>
      </c>
      <c r="AH18" s="7">
        <v>27</v>
      </c>
      <c r="AI18" s="26" t="s">
        <v>6</v>
      </c>
      <c r="AJ18" s="26">
        <v>3</v>
      </c>
      <c r="AK18" s="7">
        <v>6.5</v>
      </c>
      <c r="AL18" s="7">
        <v>7</v>
      </c>
      <c r="AM18" s="7">
        <v>6.5</v>
      </c>
      <c r="AN18" s="7">
        <v>7</v>
      </c>
      <c r="AO18" s="7">
        <v>6.5</v>
      </c>
      <c r="AP18" s="7">
        <v>6.5</v>
      </c>
      <c r="AQ18" s="7">
        <v>6</v>
      </c>
      <c r="AR18" s="7">
        <v>58.5</v>
      </c>
      <c r="AS18" s="8">
        <v>184.5</v>
      </c>
      <c r="AT18" s="24">
        <v>10</v>
      </c>
      <c r="AU18" s="25">
        <v>6</v>
      </c>
      <c r="AV18" s="7">
        <v>43.5</v>
      </c>
      <c r="AW18" s="26" t="s">
        <v>7</v>
      </c>
      <c r="AX18" s="26">
        <v>3.1</v>
      </c>
      <c r="AY18" s="7">
        <v>6.5</v>
      </c>
      <c r="AZ18" s="7">
        <v>7</v>
      </c>
      <c r="BA18" s="7">
        <v>7</v>
      </c>
      <c r="BB18" s="7">
        <v>7</v>
      </c>
      <c r="BC18" s="7">
        <v>6</v>
      </c>
      <c r="BD18" s="7">
        <v>7.5</v>
      </c>
      <c r="BE18" s="7">
        <v>6.5</v>
      </c>
      <c r="BF18" s="7">
        <v>63.55</v>
      </c>
      <c r="BG18" s="8">
        <v>248.05</v>
      </c>
      <c r="BH18" s="24">
        <v>6</v>
      </c>
      <c r="BI18" s="25">
        <v>5</v>
      </c>
      <c r="BJ18" s="7">
        <v>57.45</v>
      </c>
      <c r="BK18" s="26" t="s">
        <v>4</v>
      </c>
      <c r="BL18" s="26">
        <v>3</v>
      </c>
      <c r="BM18" s="7">
        <v>7</v>
      </c>
      <c r="BN18" s="7">
        <v>7</v>
      </c>
      <c r="BO18" s="7">
        <v>7</v>
      </c>
      <c r="BP18" s="7">
        <v>7</v>
      </c>
      <c r="BQ18" s="7">
        <v>7</v>
      </c>
      <c r="BR18" s="7">
        <v>6.5</v>
      </c>
      <c r="BS18" s="7">
        <v>7</v>
      </c>
      <c r="BT18" s="7">
        <v>63</v>
      </c>
      <c r="BU18" s="8">
        <v>311.05</v>
      </c>
      <c r="BV18" s="24">
        <v>9</v>
      </c>
      <c r="BW18" s="25">
        <v>5</v>
      </c>
      <c r="BX18" s="7">
        <v>72.45</v>
      </c>
      <c r="BY18" s="22">
        <v>2020</v>
      </c>
      <c r="BZ18" s="22" t="s">
        <v>9</v>
      </c>
      <c r="CA18" s="22" t="s">
        <v>10</v>
      </c>
    </row>
    <row r="19" spans="1:79" x14ac:dyDescent="0.35">
      <c r="A19" s="22">
        <v>6</v>
      </c>
      <c r="B19" s="22" t="s">
        <v>18</v>
      </c>
      <c r="C19" s="22" t="s">
        <v>38</v>
      </c>
      <c r="D19" s="22">
        <v>18</v>
      </c>
      <c r="E19" s="6">
        <v>303.45</v>
      </c>
      <c r="F19" s="6">
        <v>80.05</v>
      </c>
      <c r="G19" s="26" t="s">
        <v>4</v>
      </c>
      <c r="H19" s="26">
        <v>3</v>
      </c>
      <c r="I19" s="7">
        <v>6.5</v>
      </c>
      <c r="J19" s="7">
        <v>6.5</v>
      </c>
      <c r="K19" s="7">
        <v>7</v>
      </c>
      <c r="L19" s="7">
        <v>7</v>
      </c>
      <c r="M19" s="7">
        <v>7</v>
      </c>
      <c r="N19" s="7">
        <v>7</v>
      </c>
      <c r="O19" s="7">
        <v>7</v>
      </c>
      <c r="P19" s="7">
        <v>63</v>
      </c>
      <c r="Q19" s="8">
        <v>63</v>
      </c>
      <c r="R19" s="24">
        <f>6</f>
        <v>6</v>
      </c>
      <c r="S19" s="25">
        <f>6</f>
        <v>6</v>
      </c>
      <c r="T19" s="7">
        <v>13.5</v>
      </c>
      <c r="U19" s="26" t="s">
        <v>7</v>
      </c>
      <c r="V19" s="5">
        <v>3.1</v>
      </c>
      <c r="W19" s="7">
        <v>5.5</v>
      </c>
      <c r="X19" s="7">
        <v>7</v>
      </c>
      <c r="Y19" s="7">
        <v>6.5</v>
      </c>
      <c r="Z19" s="7">
        <v>6</v>
      </c>
      <c r="AA19" s="7">
        <v>6.5</v>
      </c>
      <c r="AB19" s="7">
        <v>7.5</v>
      </c>
      <c r="AC19" s="7">
        <v>6.5</v>
      </c>
      <c r="AD19" s="7">
        <v>60.45</v>
      </c>
      <c r="AE19" s="8">
        <v>123.45</v>
      </c>
      <c r="AF19" s="24">
        <v>8</v>
      </c>
      <c r="AG19" s="25">
        <v>7</v>
      </c>
      <c r="AH19" s="7">
        <v>29.55</v>
      </c>
      <c r="AI19" s="26" t="s">
        <v>5</v>
      </c>
      <c r="AJ19" s="26">
        <v>3</v>
      </c>
      <c r="AK19" s="7">
        <v>7</v>
      </c>
      <c r="AL19" s="7">
        <v>7</v>
      </c>
      <c r="AM19" s="7">
        <v>7.5</v>
      </c>
      <c r="AN19" s="7">
        <v>7.5</v>
      </c>
      <c r="AO19" s="7">
        <v>7.5</v>
      </c>
      <c r="AP19" s="7">
        <v>7.5</v>
      </c>
      <c r="AQ19" s="7">
        <v>7</v>
      </c>
      <c r="AR19" s="7">
        <v>66</v>
      </c>
      <c r="AS19" s="8">
        <v>189.45</v>
      </c>
      <c r="AT19" s="24">
        <f>3</f>
        <v>3</v>
      </c>
      <c r="AU19" s="25">
        <v>5</v>
      </c>
      <c r="AV19" s="7">
        <v>38.549999999999997</v>
      </c>
      <c r="AW19" s="26" t="s">
        <v>6</v>
      </c>
      <c r="AX19" s="26">
        <v>3</v>
      </c>
      <c r="AY19" s="7">
        <v>6</v>
      </c>
      <c r="AZ19" s="7">
        <v>6</v>
      </c>
      <c r="BA19" s="7">
        <v>5.5</v>
      </c>
      <c r="BB19" s="7">
        <v>5</v>
      </c>
      <c r="BC19" s="7">
        <v>4.5</v>
      </c>
      <c r="BD19" s="7">
        <v>5</v>
      </c>
      <c r="BE19" s="7">
        <v>5</v>
      </c>
      <c r="BF19" s="7">
        <v>46.5</v>
      </c>
      <c r="BG19" s="8">
        <v>235.95</v>
      </c>
      <c r="BH19" s="24">
        <v>11</v>
      </c>
      <c r="BI19" s="25">
        <v>7</v>
      </c>
      <c r="BJ19" s="7">
        <v>69.55</v>
      </c>
      <c r="BK19" s="26" t="s">
        <v>8</v>
      </c>
      <c r="BL19" s="26">
        <v>3</v>
      </c>
      <c r="BM19" s="7">
        <v>7.5</v>
      </c>
      <c r="BN19" s="7">
        <v>7.5</v>
      </c>
      <c r="BO19" s="7">
        <v>7.5</v>
      </c>
      <c r="BP19" s="7">
        <v>7.5</v>
      </c>
      <c r="BQ19" s="7">
        <v>8</v>
      </c>
      <c r="BR19" s="7">
        <v>7.5</v>
      </c>
      <c r="BS19" s="7">
        <v>7</v>
      </c>
      <c r="BT19" s="7">
        <v>67.5</v>
      </c>
      <c r="BU19" s="8">
        <v>303.45</v>
      </c>
      <c r="BV19" s="24">
        <f>4</f>
        <v>4</v>
      </c>
      <c r="BW19" s="25">
        <v>6</v>
      </c>
      <c r="BX19" s="7">
        <v>80.05</v>
      </c>
      <c r="BY19" s="22">
        <v>2020</v>
      </c>
      <c r="BZ19" s="22" t="s">
        <v>9</v>
      </c>
      <c r="CA19" s="22" t="s">
        <v>10</v>
      </c>
    </row>
    <row r="20" spans="1:79" x14ac:dyDescent="0.35">
      <c r="A20" s="22">
        <v>7</v>
      </c>
      <c r="B20" s="22" t="s">
        <v>20</v>
      </c>
      <c r="C20" s="22" t="s">
        <v>39</v>
      </c>
      <c r="D20" s="22">
        <v>26</v>
      </c>
      <c r="E20" s="6">
        <v>302.95</v>
      </c>
      <c r="F20" s="6">
        <v>80.55</v>
      </c>
      <c r="G20" s="26" t="s">
        <v>5</v>
      </c>
      <c r="H20" s="26">
        <v>3</v>
      </c>
      <c r="I20" s="7">
        <v>7.5</v>
      </c>
      <c r="J20" s="7">
        <v>7</v>
      </c>
      <c r="K20" s="7">
        <v>7.5</v>
      </c>
      <c r="L20" s="7">
        <v>7</v>
      </c>
      <c r="M20" s="7">
        <v>7</v>
      </c>
      <c r="N20" s="7">
        <v>7.5</v>
      </c>
      <c r="O20" s="7">
        <v>7.5</v>
      </c>
      <c r="P20" s="7">
        <v>66</v>
      </c>
      <c r="Q20" s="8">
        <v>66</v>
      </c>
      <c r="R20" s="24">
        <v>5</v>
      </c>
      <c r="S20" s="25">
        <v>5</v>
      </c>
      <c r="T20" s="7">
        <v>10.5</v>
      </c>
      <c r="U20" s="26" t="s">
        <v>7</v>
      </c>
      <c r="V20" s="5">
        <v>3.1</v>
      </c>
      <c r="W20" s="7">
        <v>4</v>
      </c>
      <c r="X20" s="7">
        <v>5</v>
      </c>
      <c r="Y20" s="7">
        <v>5</v>
      </c>
      <c r="Z20" s="7">
        <v>4.5</v>
      </c>
      <c r="AA20" s="7">
        <v>4</v>
      </c>
      <c r="AB20" s="7">
        <v>5.5</v>
      </c>
      <c r="AC20" s="7">
        <v>5</v>
      </c>
      <c r="AD20" s="7">
        <v>44.95</v>
      </c>
      <c r="AE20" s="8">
        <v>110.95</v>
      </c>
      <c r="AF20" s="24">
        <v>10</v>
      </c>
      <c r="AG20" s="25">
        <v>10</v>
      </c>
      <c r="AH20" s="7">
        <v>42.05</v>
      </c>
      <c r="AI20" s="26" t="s">
        <v>6</v>
      </c>
      <c r="AJ20" s="26">
        <v>3</v>
      </c>
      <c r="AK20" s="7">
        <v>6.5</v>
      </c>
      <c r="AL20" s="7">
        <v>7</v>
      </c>
      <c r="AM20" s="7">
        <v>7</v>
      </c>
      <c r="AN20" s="7">
        <v>7</v>
      </c>
      <c r="AO20" s="7">
        <v>7</v>
      </c>
      <c r="AP20" s="7">
        <v>6</v>
      </c>
      <c r="AQ20" s="7">
        <v>6.5</v>
      </c>
      <c r="AR20" s="7">
        <v>61.5</v>
      </c>
      <c r="AS20" s="8">
        <v>172.45</v>
      </c>
      <c r="AT20" s="24">
        <f>6</f>
        <v>6</v>
      </c>
      <c r="AU20" s="25">
        <v>8</v>
      </c>
      <c r="AV20" s="7">
        <v>55.55</v>
      </c>
      <c r="AW20" s="26" t="s">
        <v>8</v>
      </c>
      <c r="AX20" s="26">
        <v>3</v>
      </c>
      <c r="AY20" s="7">
        <v>7</v>
      </c>
      <c r="AZ20" s="7">
        <v>7</v>
      </c>
      <c r="BA20" s="7">
        <v>7</v>
      </c>
      <c r="BB20" s="7">
        <v>7.5</v>
      </c>
      <c r="BC20" s="7">
        <v>6.5</v>
      </c>
      <c r="BD20" s="7">
        <v>6.5</v>
      </c>
      <c r="BE20" s="7">
        <v>7</v>
      </c>
      <c r="BF20" s="7">
        <v>63</v>
      </c>
      <c r="BG20" s="8">
        <v>235.45</v>
      </c>
      <c r="BH20" s="24">
        <v>7</v>
      </c>
      <c r="BI20" s="25">
        <v>8</v>
      </c>
      <c r="BJ20" s="7">
        <v>70.05</v>
      </c>
      <c r="BK20" s="26" t="s">
        <v>4</v>
      </c>
      <c r="BL20" s="26">
        <v>3</v>
      </c>
      <c r="BM20" s="7">
        <v>7.5</v>
      </c>
      <c r="BN20" s="7">
        <v>7</v>
      </c>
      <c r="BO20" s="7">
        <v>7.5</v>
      </c>
      <c r="BP20" s="7">
        <v>7</v>
      </c>
      <c r="BQ20" s="7">
        <v>7.5</v>
      </c>
      <c r="BR20" s="7">
        <v>7.5</v>
      </c>
      <c r="BS20" s="7">
        <v>7.5</v>
      </c>
      <c r="BT20" s="7">
        <v>67.5</v>
      </c>
      <c r="BU20" s="8">
        <v>302.95</v>
      </c>
      <c r="BV20" s="24">
        <f>4</f>
        <v>4</v>
      </c>
      <c r="BW20" s="25">
        <v>7</v>
      </c>
      <c r="BX20" s="7">
        <v>80.55</v>
      </c>
      <c r="BY20" s="22">
        <v>2020</v>
      </c>
      <c r="BZ20" s="22" t="s">
        <v>9</v>
      </c>
      <c r="CA20" s="22" t="s">
        <v>10</v>
      </c>
    </row>
    <row r="21" spans="1:79" x14ac:dyDescent="0.35">
      <c r="A21" s="22">
        <v>8</v>
      </c>
      <c r="B21" s="22" t="s">
        <v>40</v>
      </c>
      <c r="C21" s="22" t="s">
        <v>135</v>
      </c>
      <c r="D21" s="22">
        <v>29</v>
      </c>
      <c r="E21" s="6">
        <v>297.45</v>
      </c>
      <c r="F21" s="6">
        <v>86.05</v>
      </c>
      <c r="G21" s="26" t="s">
        <v>4</v>
      </c>
      <c r="H21" s="26">
        <v>3</v>
      </c>
      <c r="I21" s="7">
        <v>7</v>
      </c>
      <c r="J21" s="7">
        <v>7</v>
      </c>
      <c r="K21" s="7">
        <v>7</v>
      </c>
      <c r="L21" s="7">
        <v>7</v>
      </c>
      <c r="M21" s="7">
        <v>7</v>
      </c>
      <c r="N21" s="7">
        <v>7.5</v>
      </c>
      <c r="O21" s="7">
        <v>7</v>
      </c>
      <c r="P21" s="7">
        <v>63</v>
      </c>
      <c r="Q21" s="8">
        <v>63</v>
      </c>
      <c r="R21" s="24">
        <f>6</f>
        <v>6</v>
      </c>
      <c r="S21" s="25">
        <f>6</f>
        <v>6</v>
      </c>
      <c r="T21" s="7">
        <v>13.5</v>
      </c>
      <c r="U21" s="26" t="s">
        <v>7</v>
      </c>
      <c r="V21" s="5">
        <v>3.1</v>
      </c>
      <c r="W21" s="7">
        <v>7.5</v>
      </c>
      <c r="X21" s="7">
        <v>7.5</v>
      </c>
      <c r="Y21" s="7">
        <v>8</v>
      </c>
      <c r="Z21" s="7">
        <v>7.5</v>
      </c>
      <c r="AA21" s="7">
        <v>6.5</v>
      </c>
      <c r="AB21" s="7">
        <v>7.5</v>
      </c>
      <c r="AC21" s="7">
        <v>7.5</v>
      </c>
      <c r="AD21" s="7">
        <v>69.75</v>
      </c>
      <c r="AE21" s="8">
        <v>132.75</v>
      </c>
      <c r="AF21" s="24">
        <v>2</v>
      </c>
      <c r="AG21" s="25">
        <v>3</v>
      </c>
      <c r="AH21" s="7">
        <v>20.25</v>
      </c>
      <c r="AI21" s="26" t="s">
        <v>6</v>
      </c>
      <c r="AJ21" s="26">
        <v>3</v>
      </c>
      <c r="AK21" s="7">
        <v>4.5</v>
      </c>
      <c r="AL21" s="7">
        <v>4</v>
      </c>
      <c r="AM21" s="7">
        <v>4</v>
      </c>
      <c r="AN21" s="7">
        <v>4</v>
      </c>
      <c r="AO21" s="7">
        <v>4.5</v>
      </c>
      <c r="AP21" s="7">
        <v>4.5</v>
      </c>
      <c r="AQ21" s="7">
        <v>4.5</v>
      </c>
      <c r="AR21" s="7">
        <v>39</v>
      </c>
      <c r="AS21" s="8">
        <v>171.75</v>
      </c>
      <c r="AT21" s="24">
        <v>12</v>
      </c>
      <c r="AU21" s="25">
        <v>9</v>
      </c>
      <c r="AV21" s="7">
        <v>56.25</v>
      </c>
      <c r="AW21" s="26" t="s">
        <v>5</v>
      </c>
      <c r="AX21" s="26">
        <v>3</v>
      </c>
      <c r="AY21" s="7">
        <v>6.5</v>
      </c>
      <c r="AZ21" s="7">
        <v>7</v>
      </c>
      <c r="BA21" s="7">
        <v>7.5</v>
      </c>
      <c r="BB21" s="7">
        <v>6.5</v>
      </c>
      <c r="BC21" s="7">
        <v>7.5</v>
      </c>
      <c r="BD21" s="7">
        <v>8</v>
      </c>
      <c r="BE21" s="7">
        <v>7</v>
      </c>
      <c r="BF21" s="7">
        <v>64.5</v>
      </c>
      <c r="BG21" s="8">
        <v>236.25</v>
      </c>
      <c r="BH21" s="24">
        <v>5</v>
      </c>
      <c r="BI21" s="25">
        <v>6</v>
      </c>
      <c r="BJ21" s="7">
        <v>69.25</v>
      </c>
      <c r="BK21" s="26" t="s">
        <v>13</v>
      </c>
      <c r="BL21" s="26">
        <v>3.4</v>
      </c>
      <c r="BM21" s="7">
        <v>6</v>
      </c>
      <c r="BN21" s="7">
        <v>6</v>
      </c>
      <c r="BO21" s="7">
        <v>6</v>
      </c>
      <c r="BP21" s="7">
        <v>6</v>
      </c>
      <c r="BQ21" s="7">
        <v>6.5</v>
      </c>
      <c r="BR21" s="7">
        <v>6.5</v>
      </c>
      <c r="BS21" s="7">
        <v>6</v>
      </c>
      <c r="BT21" s="7">
        <v>61.2</v>
      </c>
      <c r="BU21" s="8">
        <v>297.45</v>
      </c>
      <c r="BV21" s="24">
        <v>11</v>
      </c>
      <c r="BW21" s="25">
        <v>8</v>
      </c>
      <c r="BX21" s="7">
        <v>86.05</v>
      </c>
      <c r="BY21" s="22">
        <v>2020</v>
      </c>
      <c r="BZ21" s="22" t="s">
        <v>9</v>
      </c>
      <c r="CA21" s="22" t="s">
        <v>10</v>
      </c>
    </row>
    <row r="22" spans="1:79" x14ac:dyDescent="0.35">
      <c r="A22" s="22">
        <v>9</v>
      </c>
      <c r="B22" s="22" t="s">
        <v>34</v>
      </c>
      <c r="C22" s="22" t="s">
        <v>41</v>
      </c>
      <c r="D22" s="22">
        <v>18</v>
      </c>
      <c r="E22" s="6">
        <v>288.45</v>
      </c>
      <c r="F22" s="6">
        <v>95.05</v>
      </c>
      <c r="G22" s="26" t="s">
        <v>26</v>
      </c>
      <c r="H22" s="26">
        <v>2.7</v>
      </c>
      <c r="I22" s="7">
        <v>7</v>
      </c>
      <c r="J22" s="7">
        <v>7.5</v>
      </c>
      <c r="K22" s="7">
        <v>7</v>
      </c>
      <c r="L22" s="7">
        <v>7</v>
      </c>
      <c r="M22" s="7">
        <v>8</v>
      </c>
      <c r="N22" s="7">
        <v>7.5</v>
      </c>
      <c r="O22" s="7">
        <v>6.5</v>
      </c>
      <c r="P22" s="7">
        <v>58.05</v>
      </c>
      <c r="Q22" s="8">
        <v>58.05</v>
      </c>
      <c r="R22" s="24">
        <v>12</v>
      </c>
      <c r="S22" s="25">
        <v>12</v>
      </c>
      <c r="T22" s="7">
        <v>18.45</v>
      </c>
      <c r="U22" s="26" t="s">
        <v>42</v>
      </c>
      <c r="V22" s="5">
        <v>2.8</v>
      </c>
      <c r="W22" s="7">
        <v>7</v>
      </c>
      <c r="X22" s="7">
        <v>7.5</v>
      </c>
      <c r="Y22" s="7">
        <v>7</v>
      </c>
      <c r="Z22" s="7">
        <v>7</v>
      </c>
      <c r="AA22" s="7">
        <v>7</v>
      </c>
      <c r="AB22" s="7">
        <v>7.5</v>
      </c>
      <c r="AC22" s="7">
        <v>7</v>
      </c>
      <c r="AD22" s="7">
        <v>58.8</v>
      </c>
      <c r="AE22" s="8">
        <v>116.85</v>
      </c>
      <c r="AF22" s="24">
        <v>9</v>
      </c>
      <c r="AG22" s="25">
        <v>9</v>
      </c>
      <c r="AH22" s="7">
        <v>36.15</v>
      </c>
      <c r="AI22" s="26" t="s">
        <v>43</v>
      </c>
      <c r="AJ22" s="26">
        <v>2.8</v>
      </c>
      <c r="AK22" s="7">
        <v>7</v>
      </c>
      <c r="AL22" s="7">
        <v>7.5</v>
      </c>
      <c r="AM22" s="7">
        <v>7</v>
      </c>
      <c r="AN22" s="7">
        <v>7</v>
      </c>
      <c r="AO22" s="7">
        <v>7.5</v>
      </c>
      <c r="AP22" s="7">
        <v>7</v>
      </c>
      <c r="AQ22" s="7">
        <v>7</v>
      </c>
      <c r="AR22" s="7">
        <v>58.8</v>
      </c>
      <c r="AS22" s="8">
        <v>175.65</v>
      </c>
      <c r="AT22" s="24">
        <v>9</v>
      </c>
      <c r="AU22" s="25">
        <v>7</v>
      </c>
      <c r="AV22" s="7">
        <v>52.35</v>
      </c>
      <c r="AW22" s="26" t="s">
        <v>23</v>
      </c>
      <c r="AX22" s="26">
        <v>2.8</v>
      </c>
      <c r="AY22" s="7">
        <v>6.5</v>
      </c>
      <c r="AZ22" s="7">
        <v>7.5</v>
      </c>
      <c r="BA22" s="7">
        <v>7</v>
      </c>
      <c r="BB22" s="7">
        <v>7</v>
      </c>
      <c r="BC22" s="7">
        <v>7</v>
      </c>
      <c r="BD22" s="7">
        <v>7.5</v>
      </c>
      <c r="BE22" s="7">
        <v>6.5</v>
      </c>
      <c r="BF22" s="7">
        <v>58.8</v>
      </c>
      <c r="BG22" s="8">
        <v>234.45</v>
      </c>
      <c r="BH22" s="24">
        <v>8</v>
      </c>
      <c r="BI22" s="25">
        <v>9</v>
      </c>
      <c r="BJ22" s="7">
        <v>71.05</v>
      </c>
      <c r="BK22" s="26" t="s">
        <v>8</v>
      </c>
      <c r="BL22" s="26">
        <v>3</v>
      </c>
      <c r="BM22" s="7">
        <v>6.5</v>
      </c>
      <c r="BN22" s="7">
        <v>6</v>
      </c>
      <c r="BO22" s="7">
        <v>6</v>
      </c>
      <c r="BP22" s="7">
        <v>6</v>
      </c>
      <c r="BQ22" s="7">
        <v>6</v>
      </c>
      <c r="BR22" s="7">
        <v>6.5</v>
      </c>
      <c r="BS22" s="7">
        <v>5.5</v>
      </c>
      <c r="BT22" s="7">
        <v>54</v>
      </c>
      <c r="BU22" s="8">
        <v>288.45</v>
      </c>
      <c r="BV22" s="24">
        <v>12</v>
      </c>
      <c r="BW22" s="25">
        <v>9</v>
      </c>
      <c r="BX22" s="7">
        <v>95.05</v>
      </c>
      <c r="BY22" s="22">
        <v>2020</v>
      </c>
      <c r="BZ22" s="22" t="s">
        <v>9</v>
      </c>
      <c r="CA22" s="22" t="s">
        <v>10</v>
      </c>
    </row>
    <row r="23" spans="1:79" x14ac:dyDescent="0.35">
      <c r="A23" s="22">
        <v>10</v>
      </c>
      <c r="B23" s="22" t="s">
        <v>45</v>
      </c>
      <c r="C23" s="22" t="s">
        <v>44</v>
      </c>
      <c r="D23" s="22">
        <v>24</v>
      </c>
      <c r="E23" s="6">
        <v>284.05</v>
      </c>
      <c r="F23" s="6">
        <v>99.45</v>
      </c>
      <c r="G23" s="26" t="s">
        <v>8</v>
      </c>
      <c r="H23" s="26">
        <v>3</v>
      </c>
      <c r="I23" s="7">
        <v>6.5</v>
      </c>
      <c r="J23" s="7">
        <v>6.5</v>
      </c>
      <c r="K23" s="7">
        <v>7</v>
      </c>
      <c r="L23" s="7">
        <v>7</v>
      </c>
      <c r="M23" s="7">
        <v>7</v>
      </c>
      <c r="N23" s="7">
        <v>7</v>
      </c>
      <c r="O23" s="7">
        <v>6.5</v>
      </c>
      <c r="P23" s="7">
        <v>61.5</v>
      </c>
      <c r="Q23" s="8">
        <v>61.5</v>
      </c>
      <c r="R23" s="24">
        <v>10</v>
      </c>
      <c r="S23" s="25">
        <v>10</v>
      </c>
      <c r="T23" s="7">
        <v>15</v>
      </c>
      <c r="U23" s="26" t="s">
        <v>5</v>
      </c>
      <c r="V23" s="5">
        <v>3</v>
      </c>
      <c r="W23" s="7">
        <v>4.5</v>
      </c>
      <c r="X23" s="7">
        <v>4</v>
      </c>
      <c r="Y23" s="7">
        <v>4.5</v>
      </c>
      <c r="Z23" s="7">
        <v>4</v>
      </c>
      <c r="AA23" s="7">
        <v>4.5</v>
      </c>
      <c r="AB23" s="7">
        <v>4</v>
      </c>
      <c r="AC23" s="7">
        <v>4.5</v>
      </c>
      <c r="AD23" s="7">
        <v>39</v>
      </c>
      <c r="AE23" s="8">
        <v>100.5</v>
      </c>
      <c r="AF23" s="24">
        <v>11</v>
      </c>
      <c r="AG23" s="25">
        <v>11</v>
      </c>
      <c r="AH23" s="7">
        <v>52.5</v>
      </c>
      <c r="AI23" s="26" t="s">
        <v>6</v>
      </c>
      <c r="AJ23" s="26">
        <v>3</v>
      </c>
      <c r="AK23" s="7">
        <v>7.5</v>
      </c>
      <c r="AL23" s="7">
        <v>6.5</v>
      </c>
      <c r="AM23" s="7">
        <v>6.5</v>
      </c>
      <c r="AN23" s="7">
        <v>7</v>
      </c>
      <c r="AO23" s="7">
        <v>7.5</v>
      </c>
      <c r="AP23" s="7">
        <v>7</v>
      </c>
      <c r="AQ23" s="7">
        <v>7</v>
      </c>
      <c r="AR23" s="7">
        <v>63</v>
      </c>
      <c r="AS23" s="8">
        <v>163.5</v>
      </c>
      <c r="AT23" s="24">
        <v>5</v>
      </c>
      <c r="AU23" s="25">
        <v>11</v>
      </c>
      <c r="AV23" s="7">
        <v>64.5</v>
      </c>
      <c r="AW23" s="26" t="s">
        <v>4</v>
      </c>
      <c r="AX23" s="26">
        <v>3</v>
      </c>
      <c r="AY23" s="7">
        <v>7</v>
      </c>
      <c r="AZ23" s="7">
        <v>7</v>
      </c>
      <c r="BA23" s="7">
        <v>6.5</v>
      </c>
      <c r="BB23" s="7">
        <v>6</v>
      </c>
      <c r="BC23" s="7">
        <v>6.5</v>
      </c>
      <c r="BD23" s="7">
        <v>6</v>
      </c>
      <c r="BE23" s="7">
        <v>6</v>
      </c>
      <c r="BF23" s="7">
        <v>57</v>
      </c>
      <c r="BG23" s="8">
        <v>220.5</v>
      </c>
      <c r="BH23" s="24">
        <v>9</v>
      </c>
      <c r="BI23" s="25">
        <v>10</v>
      </c>
      <c r="BJ23" s="7">
        <v>85</v>
      </c>
      <c r="BK23" s="26" t="s">
        <v>7</v>
      </c>
      <c r="BL23" s="26">
        <v>3.1</v>
      </c>
      <c r="BM23" s="7">
        <v>7.5</v>
      </c>
      <c r="BN23" s="7">
        <v>6.5</v>
      </c>
      <c r="BO23" s="7">
        <v>7</v>
      </c>
      <c r="BP23" s="7">
        <v>7.5</v>
      </c>
      <c r="BQ23" s="7">
        <v>6.5</v>
      </c>
      <c r="BR23" s="7">
        <v>6.5</v>
      </c>
      <c r="BS23" s="7">
        <v>7</v>
      </c>
      <c r="BT23" s="7">
        <v>63.55</v>
      </c>
      <c r="BU23" s="8">
        <v>284.05</v>
      </c>
      <c r="BV23" s="24">
        <v>8</v>
      </c>
      <c r="BW23" s="25">
        <v>10</v>
      </c>
      <c r="BX23" s="7">
        <v>99.45</v>
      </c>
      <c r="BY23" s="22">
        <v>2020</v>
      </c>
      <c r="BZ23" s="22" t="s">
        <v>9</v>
      </c>
      <c r="CA23" s="22" t="s">
        <v>10</v>
      </c>
    </row>
    <row r="24" spans="1:79" x14ac:dyDescent="0.35">
      <c r="A24" s="22">
        <v>11</v>
      </c>
      <c r="B24" s="22" t="s">
        <v>47</v>
      </c>
      <c r="C24" s="22" t="s">
        <v>46</v>
      </c>
      <c r="D24" s="22">
        <v>21</v>
      </c>
      <c r="E24" s="6">
        <v>283.35000000000002</v>
      </c>
      <c r="F24" s="6">
        <v>100.15</v>
      </c>
      <c r="G24" s="26" t="s">
        <v>4</v>
      </c>
      <c r="H24" s="26">
        <v>3</v>
      </c>
      <c r="I24" s="7">
        <v>7</v>
      </c>
      <c r="J24" s="7">
        <v>6.5</v>
      </c>
      <c r="K24" s="7">
        <v>6.5</v>
      </c>
      <c r="L24" s="7">
        <v>6.5</v>
      </c>
      <c r="M24" s="7">
        <v>7</v>
      </c>
      <c r="N24" s="7">
        <v>6.5</v>
      </c>
      <c r="O24" s="7">
        <v>7</v>
      </c>
      <c r="P24" s="7">
        <v>60</v>
      </c>
      <c r="Q24" s="8">
        <v>60</v>
      </c>
      <c r="R24" s="24">
        <v>11</v>
      </c>
      <c r="S24" s="25">
        <v>11</v>
      </c>
      <c r="T24" s="7">
        <v>16.5</v>
      </c>
      <c r="U24" s="26" t="s">
        <v>8</v>
      </c>
      <c r="V24" s="5">
        <v>3</v>
      </c>
      <c r="W24" s="7">
        <v>7</v>
      </c>
      <c r="X24" s="7">
        <v>7</v>
      </c>
      <c r="Y24" s="7">
        <v>7</v>
      </c>
      <c r="Z24" s="7">
        <v>6.5</v>
      </c>
      <c r="AA24" s="7">
        <v>6.5</v>
      </c>
      <c r="AB24" s="7">
        <v>7</v>
      </c>
      <c r="AC24" s="7">
        <v>7</v>
      </c>
      <c r="AD24" s="7">
        <v>63</v>
      </c>
      <c r="AE24" s="8">
        <v>123</v>
      </c>
      <c r="AF24" s="24">
        <f>5</f>
        <v>5</v>
      </c>
      <c r="AG24" s="25">
        <v>8</v>
      </c>
      <c r="AH24" s="7">
        <v>30</v>
      </c>
      <c r="AI24" s="26" t="s">
        <v>7</v>
      </c>
      <c r="AJ24" s="26">
        <v>3.1</v>
      </c>
      <c r="AK24" s="7">
        <v>4.5</v>
      </c>
      <c r="AL24" s="7">
        <v>3.5</v>
      </c>
      <c r="AM24" s="7">
        <v>4.5</v>
      </c>
      <c r="AN24" s="7">
        <v>4</v>
      </c>
      <c r="AO24" s="7">
        <v>4.5</v>
      </c>
      <c r="AP24" s="7">
        <v>4.5</v>
      </c>
      <c r="AQ24" s="7">
        <v>4.5</v>
      </c>
      <c r="AR24" s="7">
        <v>41.85</v>
      </c>
      <c r="AS24" s="8">
        <v>164.85</v>
      </c>
      <c r="AT24" s="24">
        <v>11</v>
      </c>
      <c r="AU24" s="25">
        <v>10</v>
      </c>
      <c r="AV24" s="7">
        <v>63.15</v>
      </c>
      <c r="AW24" s="26" t="s">
        <v>5</v>
      </c>
      <c r="AX24" s="26">
        <v>3</v>
      </c>
      <c r="AY24" s="7">
        <v>6.5</v>
      </c>
      <c r="AZ24" s="7">
        <v>6</v>
      </c>
      <c r="BA24" s="7">
        <v>6</v>
      </c>
      <c r="BB24" s="7">
        <v>6</v>
      </c>
      <c r="BC24" s="7">
        <v>6</v>
      </c>
      <c r="BD24" s="7">
        <v>6</v>
      </c>
      <c r="BE24" s="7">
        <v>6</v>
      </c>
      <c r="BF24" s="7">
        <v>54</v>
      </c>
      <c r="BG24" s="8">
        <v>218.85</v>
      </c>
      <c r="BH24" s="24">
        <v>10</v>
      </c>
      <c r="BI24" s="25">
        <v>11</v>
      </c>
      <c r="BJ24" s="7">
        <v>86.65</v>
      </c>
      <c r="BK24" s="26" t="s">
        <v>6</v>
      </c>
      <c r="BL24" s="26">
        <v>3</v>
      </c>
      <c r="BM24" s="7">
        <v>7</v>
      </c>
      <c r="BN24" s="7">
        <v>7</v>
      </c>
      <c r="BO24" s="7">
        <v>7</v>
      </c>
      <c r="BP24" s="7">
        <v>7.5</v>
      </c>
      <c r="BQ24" s="7">
        <v>7.5</v>
      </c>
      <c r="BR24" s="7">
        <v>8</v>
      </c>
      <c r="BS24" s="7">
        <v>7</v>
      </c>
      <c r="BT24" s="7">
        <v>64.5</v>
      </c>
      <c r="BU24" s="8">
        <v>283.35000000000002</v>
      </c>
      <c r="BV24" s="24">
        <v>7</v>
      </c>
      <c r="BW24" s="25">
        <v>11</v>
      </c>
      <c r="BX24" s="7">
        <v>100.15</v>
      </c>
      <c r="BY24" s="22">
        <v>2020</v>
      </c>
      <c r="BZ24" s="22" t="s">
        <v>9</v>
      </c>
      <c r="CA24" s="22" t="s">
        <v>10</v>
      </c>
    </row>
    <row r="25" spans="1:79" x14ac:dyDescent="0.35">
      <c r="A25" s="22">
        <v>12</v>
      </c>
      <c r="B25" s="22" t="s">
        <v>12</v>
      </c>
      <c r="C25" s="22" t="s">
        <v>48</v>
      </c>
      <c r="D25" s="22">
        <v>29</v>
      </c>
      <c r="E25" s="6">
        <v>261.95</v>
      </c>
      <c r="F25" s="6">
        <v>121.55</v>
      </c>
      <c r="G25" s="26" t="s">
        <v>4</v>
      </c>
      <c r="H25" s="26">
        <v>3</v>
      </c>
      <c r="I25" s="7">
        <v>7.5</v>
      </c>
      <c r="J25" s="7">
        <v>7.5</v>
      </c>
      <c r="K25" s="7">
        <v>7.5</v>
      </c>
      <c r="L25" s="7">
        <v>7</v>
      </c>
      <c r="M25" s="7">
        <v>7.5</v>
      </c>
      <c r="N25" s="7">
        <v>8</v>
      </c>
      <c r="O25" s="7">
        <v>7.5</v>
      </c>
      <c r="P25" s="7">
        <v>67.5</v>
      </c>
      <c r="Q25" s="8">
        <v>67.5</v>
      </c>
      <c r="R25" s="24">
        <f>3</f>
        <v>3</v>
      </c>
      <c r="S25" s="25">
        <f>3</f>
        <v>3</v>
      </c>
      <c r="T25" s="7">
        <v>9</v>
      </c>
      <c r="U25" s="26" t="s">
        <v>7</v>
      </c>
      <c r="V25" s="5">
        <v>3.1</v>
      </c>
      <c r="W25" s="7">
        <v>3.5</v>
      </c>
      <c r="X25" s="7">
        <v>3</v>
      </c>
      <c r="Y25" s="7">
        <v>3.5</v>
      </c>
      <c r="Z25" s="7">
        <v>3</v>
      </c>
      <c r="AA25" s="7">
        <v>3</v>
      </c>
      <c r="AB25" s="7">
        <v>2.5</v>
      </c>
      <c r="AC25" s="7">
        <v>3.5</v>
      </c>
      <c r="AD25" s="7">
        <v>29.45</v>
      </c>
      <c r="AE25" s="8">
        <v>96.95</v>
      </c>
      <c r="AF25" s="24">
        <v>12</v>
      </c>
      <c r="AG25" s="25">
        <v>12</v>
      </c>
      <c r="AH25" s="7">
        <v>56.05</v>
      </c>
      <c r="AI25" s="26" t="s">
        <v>5</v>
      </c>
      <c r="AJ25" s="26">
        <v>3</v>
      </c>
      <c r="AK25" s="7">
        <v>6.5</v>
      </c>
      <c r="AL25" s="7">
        <v>6.5</v>
      </c>
      <c r="AM25" s="7">
        <v>6.5</v>
      </c>
      <c r="AN25" s="7">
        <v>7</v>
      </c>
      <c r="AO25" s="7">
        <v>7</v>
      </c>
      <c r="AP25" s="7">
        <v>7</v>
      </c>
      <c r="AQ25" s="7">
        <v>7.5</v>
      </c>
      <c r="AR25" s="7">
        <v>61.5</v>
      </c>
      <c r="AS25" s="8">
        <v>158.44999999999999</v>
      </c>
      <c r="AT25" s="24">
        <f>6</f>
        <v>6</v>
      </c>
      <c r="AU25" s="25">
        <v>12</v>
      </c>
      <c r="AV25" s="7">
        <v>69.55</v>
      </c>
      <c r="AW25" s="26" t="s">
        <v>6</v>
      </c>
      <c r="AX25" s="26">
        <v>3</v>
      </c>
      <c r="AY25" s="7">
        <v>5</v>
      </c>
      <c r="AZ25" s="7">
        <v>5.5</v>
      </c>
      <c r="BA25" s="7">
        <v>4.5</v>
      </c>
      <c r="BB25" s="7">
        <v>4.5</v>
      </c>
      <c r="BC25" s="7">
        <v>4.5</v>
      </c>
      <c r="BD25" s="7">
        <v>5.5</v>
      </c>
      <c r="BE25" s="7">
        <v>4.5</v>
      </c>
      <c r="BF25" s="7">
        <v>42</v>
      </c>
      <c r="BG25" s="8">
        <v>200.45</v>
      </c>
      <c r="BH25" s="24">
        <v>12</v>
      </c>
      <c r="BI25" s="25">
        <v>12</v>
      </c>
      <c r="BJ25" s="7">
        <v>105.05</v>
      </c>
      <c r="BK25" s="26" t="s">
        <v>8</v>
      </c>
      <c r="BL25" s="26">
        <v>3</v>
      </c>
      <c r="BM25" s="7">
        <v>7</v>
      </c>
      <c r="BN25" s="7">
        <v>6.5</v>
      </c>
      <c r="BO25" s="7">
        <v>6.5</v>
      </c>
      <c r="BP25" s="7">
        <v>7</v>
      </c>
      <c r="BQ25" s="7">
        <v>7</v>
      </c>
      <c r="BR25" s="7">
        <v>7</v>
      </c>
      <c r="BS25" s="7">
        <v>6.5</v>
      </c>
      <c r="BT25" s="7">
        <v>61.5</v>
      </c>
      <c r="BU25" s="8">
        <v>261.95</v>
      </c>
      <c r="BV25" s="24">
        <v>10</v>
      </c>
      <c r="BW25" s="25">
        <v>12</v>
      </c>
      <c r="BX25" s="7">
        <v>121.55</v>
      </c>
      <c r="BY25" s="22">
        <v>2020</v>
      </c>
      <c r="BZ25" s="22" t="s">
        <v>9</v>
      </c>
      <c r="CA25" s="22" t="s">
        <v>10</v>
      </c>
    </row>
    <row r="26" spans="1:79" x14ac:dyDescent="0.35">
      <c r="A26" s="23">
        <v>1</v>
      </c>
      <c r="B26" s="23" t="s">
        <v>3</v>
      </c>
      <c r="C26" s="23" t="s">
        <v>31</v>
      </c>
      <c r="D26" s="22">
        <v>24</v>
      </c>
      <c r="E26" s="6">
        <v>406.05</v>
      </c>
      <c r="F26" s="6">
        <v>0</v>
      </c>
      <c r="G26" s="26" t="s">
        <v>4</v>
      </c>
      <c r="H26" s="26">
        <v>3</v>
      </c>
      <c r="I26" s="7">
        <v>9.5</v>
      </c>
      <c r="J26" s="7">
        <v>9</v>
      </c>
      <c r="K26" s="7">
        <v>9.5</v>
      </c>
      <c r="L26" s="7">
        <v>9</v>
      </c>
      <c r="M26" s="7">
        <v>9</v>
      </c>
      <c r="N26" s="7">
        <v>9</v>
      </c>
      <c r="O26" s="7">
        <v>8.5</v>
      </c>
      <c r="P26" s="7">
        <v>81</v>
      </c>
      <c r="Q26" s="8">
        <v>81</v>
      </c>
      <c r="R26" s="24">
        <f>1</f>
        <v>1</v>
      </c>
      <c r="S26" s="25">
        <f>1</f>
        <v>1</v>
      </c>
      <c r="T26" s="7">
        <v>0</v>
      </c>
      <c r="U26" s="26" t="s">
        <v>5</v>
      </c>
      <c r="V26" s="5">
        <v>3</v>
      </c>
      <c r="W26" s="7">
        <v>9</v>
      </c>
      <c r="X26" s="7">
        <v>9</v>
      </c>
      <c r="Y26" s="7">
        <v>9</v>
      </c>
      <c r="Z26" s="7">
        <v>9</v>
      </c>
      <c r="AA26" s="7">
        <v>8.5</v>
      </c>
      <c r="AB26" s="7">
        <v>9</v>
      </c>
      <c r="AC26" s="7">
        <v>9.5</v>
      </c>
      <c r="AD26" s="7">
        <v>81</v>
      </c>
      <c r="AE26" s="8">
        <v>162</v>
      </c>
      <c r="AF26" s="24">
        <f>1</f>
        <v>1</v>
      </c>
      <c r="AG26" s="25">
        <f>1</f>
        <v>1</v>
      </c>
      <c r="AH26" s="7">
        <v>0</v>
      </c>
      <c r="AI26" s="26" t="s">
        <v>6</v>
      </c>
      <c r="AJ26" s="26">
        <v>3</v>
      </c>
      <c r="AK26" s="7">
        <v>9.5</v>
      </c>
      <c r="AL26" s="7">
        <v>9</v>
      </c>
      <c r="AM26" s="7">
        <v>9.5</v>
      </c>
      <c r="AN26" s="7">
        <v>9</v>
      </c>
      <c r="AO26" s="7">
        <v>9.5</v>
      </c>
      <c r="AP26" s="7">
        <v>9.5</v>
      </c>
      <c r="AQ26" s="7">
        <v>9</v>
      </c>
      <c r="AR26" s="7">
        <v>84</v>
      </c>
      <c r="AS26" s="8">
        <v>246</v>
      </c>
      <c r="AT26" s="24">
        <v>1</v>
      </c>
      <c r="AU26" s="25">
        <v>1</v>
      </c>
      <c r="AV26" s="7">
        <v>0</v>
      </c>
      <c r="AW26" s="26" t="s">
        <v>7</v>
      </c>
      <c r="AX26" s="26">
        <v>3.1</v>
      </c>
      <c r="AY26" s="7">
        <v>8.5</v>
      </c>
      <c r="AZ26" s="7">
        <v>8.5</v>
      </c>
      <c r="BA26" s="7">
        <v>9</v>
      </c>
      <c r="BB26" s="7">
        <v>9</v>
      </c>
      <c r="BC26" s="7">
        <v>8.5</v>
      </c>
      <c r="BD26" s="7">
        <v>8.5</v>
      </c>
      <c r="BE26" s="7">
        <v>8.5</v>
      </c>
      <c r="BF26" s="7">
        <v>79.05</v>
      </c>
      <c r="BG26" s="8">
        <v>325.05</v>
      </c>
      <c r="BH26" s="24">
        <f>2</f>
        <v>2</v>
      </c>
      <c r="BI26" s="25">
        <v>1</v>
      </c>
      <c r="BJ26" s="7">
        <v>0</v>
      </c>
      <c r="BK26" s="26" t="s">
        <v>8</v>
      </c>
      <c r="BL26" s="26">
        <v>3</v>
      </c>
      <c r="BM26" s="7">
        <v>9</v>
      </c>
      <c r="BN26" s="7">
        <v>9</v>
      </c>
      <c r="BO26" s="7">
        <v>9.5</v>
      </c>
      <c r="BP26" s="7">
        <v>9</v>
      </c>
      <c r="BQ26" s="7">
        <v>9</v>
      </c>
      <c r="BR26" s="7">
        <v>9</v>
      </c>
      <c r="BS26" s="7">
        <v>9</v>
      </c>
      <c r="BT26" s="7">
        <v>81</v>
      </c>
      <c r="BU26" s="8">
        <v>406.05</v>
      </c>
      <c r="BV26" s="24">
        <f>2</f>
        <v>2</v>
      </c>
      <c r="BW26" s="25">
        <v>1</v>
      </c>
      <c r="BX26" s="7">
        <v>0</v>
      </c>
      <c r="BY26" s="22">
        <v>2016</v>
      </c>
      <c r="BZ26" s="22" t="s">
        <v>9</v>
      </c>
      <c r="CA26" s="22" t="s">
        <v>10</v>
      </c>
    </row>
    <row r="27" spans="1:79" x14ac:dyDescent="0.35">
      <c r="A27" s="22">
        <v>2</v>
      </c>
      <c r="B27" s="22" t="s">
        <v>3</v>
      </c>
      <c r="C27" s="22" t="s">
        <v>49</v>
      </c>
      <c r="D27" s="22">
        <v>25</v>
      </c>
      <c r="E27" s="6">
        <v>387.9</v>
      </c>
      <c r="F27" s="6">
        <v>18.149999999999999</v>
      </c>
      <c r="G27" s="26" t="s">
        <v>4</v>
      </c>
      <c r="H27" s="26">
        <v>3</v>
      </c>
      <c r="I27" s="7">
        <v>9</v>
      </c>
      <c r="J27" s="7">
        <v>9</v>
      </c>
      <c r="K27" s="7">
        <v>9</v>
      </c>
      <c r="L27" s="7">
        <v>9</v>
      </c>
      <c r="M27" s="7">
        <v>9</v>
      </c>
      <c r="N27" s="7">
        <v>8.5</v>
      </c>
      <c r="O27" s="7">
        <v>8.5</v>
      </c>
      <c r="P27" s="7">
        <v>81</v>
      </c>
      <c r="Q27" s="8">
        <v>81</v>
      </c>
      <c r="R27" s="24">
        <f>1</f>
        <v>1</v>
      </c>
      <c r="S27" s="25">
        <f>1</f>
        <v>1</v>
      </c>
      <c r="T27" s="7">
        <v>0</v>
      </c>
      <c r="U27" s="26" t="s">
        <v>6</v>
      </c>
      <c r="V27" s="5">
        <v>3</v>
      </c>
      <c r="W27" s="7">
        <v>9</v>
      </c>
      <c r="X27" s="7">
        <v>9</v>
      </c>
      <c r="Y27" s="7">
        <v>9</v>
      </c>
      <c r="Z27" s="7">
        <v>9</v>
      </c>
      <c r="AA27" s="7">
        <v>9</v>
      </c>
      <c r="AB27" s="7">
        <v>9</v>
      </c>
      <c r="AC27" s="7">
        <v>9</v>
      </c>
      <c r="AD27" s="7">
        <v>81</v>
      </c>
      <c r="AE27" s="8">
        <v>162</v>
      </c>
      <c r="AF27" s="24">
        <f>1</f>
        <v>1</v>
      </c>
      <c r="AG27" s="25">
        <f>1</f>
        <v>1</v>
      </c>
      <c r="AH27" s="7">
        <v>0</v>
      </c>
      <c r="AI27" s="26" t="s">
        <v>7</v>
      </c>
      <c r="AJ27" s="26">
        <v>3.1</v>
      </c>
      <c r="AK27" s="7">
        <v>7.5</v>
      </c>
      <c r="AL27" s="7">
        <v>7.5</v>
      </c>
      <c r="AM27" s="7">
        <v>8</v>
      </c>
      <c r="AN27" s="7">
        <v>8</v>
      </c>
      <c r="AO27" s="7">
        <v>8</v>
      </c>
      <c r="AP27" s="7">
        <v>8</v>
      </c>
      <c r="AQ27" s="7">
        <v>8</v>
      </c>
      <c r="AR27" s="7">
        <v>74.400000000000006</v>
      </c>
      <c r="AS27" s="8">
        <v>236.4</v>
      </c>
      <c r="AT27" s="24">
        <v>2</v>
      </c>
      <c r="AU27" s="25">
        <v>2</v>
      </c>
      <c r="AV27" s="7">
        <v>9.6</v>
      </c>
      <c r="AW27" s="26" t="s">
        <v>5</v>
      </c>
      <c r="AX27" s="26">
        <v>3</v>
      </c>
      <c r="AY27" s="7">
        <v>8.5</v>
      </c>
      <c r="AZ27" s="7">
        <v>8.5</v>
      </c>
      <c r="BA27" s="7">
        <v>8.5</v>
      </c>
      <c r="BB27" s="7">
        <v>8.5</v>
      </c>
      <c r="BC27" s="7">
        <v>9</v>
      </c>
      <c r="BD27" s="7">
        <v>8</v>
      </c>
      <c r="BE27" s="7">
        <v>9</v>
      </c>
      <c r="BF27" s="7">
        <v>76.5</v>
      </c>
      <c r="BG27" s="8">
        <v>312.89999999999998</v>
      </c>
      <c r="BH27" s="24">
        <v>4</v>
      </c>
      <c r="BI27" s="25">
        <v>2</v>
      </c>
      <c r="BJ27" s="7">
        <v>12.15</v>
      </c>
      <c r="BK27" s="26" t="s">
        <v>8</v>
      </c>
      <c r="BL27" s="26">
        <v>3</v>
      </c>
      <c r="BM27" s="7">
        <v>8</v>
      </c>
      <c r="BN27" s="7">
        <v>8</v>
      </c>
      <c r="BO27" s="7">
        <v>8.5</v>
      </c>
      <c r="BP27" s="7">
        <v>8.5</v>
      </c>
      <c r="BQ27" s="7">
        <v>8.5</v>
      </c>
      <c r="BR27" s="7">
        <v>8</v>
      </c>
      <c r="BS27" s="7">
        <v>8.5</v>
      </c>
      <c r="BT27" s="7">
        <v>75</v>
      </c>
      <c r="BU27" s="8">
        <v>387.9</v>
      </c>
      <c r="BV27" s="24">
        <v>4</v>
      </c>
      <c r="BW27" s="25">
        <v>2</v>
      </c>
      <c r="BX27" s="7">
        <v>18.149999999999999</v>
      </c>
      <c r="BY27" s="22">
        <v>2016</v>
      </c>
      <c r="BZ27" s="22" t="s">
        <v>9</v>
      </c>
      <c r="CA27" s="22" t="s">
        <v>10</v>
      </c>
    </row>
    <row r="28" spans="1:79" x14ac:dyDescent="0.35">
      <c r="A28" s="22">
        <v>3</v>
      </c>
      <c r="B28" s="22" t="s">
        <v>15</v>
      </c>
      <c r="C28" s="22" t="s">
        <v>50</v>
      </c>
      <c r="D28" s="22">
        <v>31</v>
      </c>
      <c r="E28" s="6">
        <v>372.8</v>
      </c>
      <c r="F28" s="6">
        <v>33.25</v>
      </c>
      <c r="G28" s="26" t="s">
        <v>5</v>
      </c>
      <c r="H28" s="26">
        <v>3</v>
      </c>
      <c r="I28" s="7">
        <v>8.5</v>
      </c>
      <c r="J28" s="7">
        <v>8.5</v>
      </c>
      <c r="K28" s="7">
        <v>8.5</v>
      </c>
      <c r="L28" s="7">
        <v>8</v>
      </c>
      <c r="M28" s="7">
        <v>8.5</v>
      </c>
      <c r="N28" s="7">
        <v>8.5</v>
      </c>
      <c r="O28" s="7">
        <v>8.5</v>
      </c>
      <c r="P28" s="7">
        <v>76.5</v>
      </c>
      <c r="Q28" s="8">
        <v>76.5</v>
      </c>
      <c r="R28" s="24">
        <f>3</f>
        <v>3</v>
      </c>
      <c r="S28" s="25">
        <f>3</f>
        <v>3</v>
      </c>
      <c r="T28" s="7">
        <v>4.5</v>
      </c>
      <c r="U28" s="26" t="s">
        <v>8</v>
      </c>
      <c r="V28" s="5">
        <v>3</v>
      </c>
      <c r="W28" s="7">
        <v>8</v>
      </c>
      <c r="X28" s="7">
        <v>8</v>
      </c>
      <c r="Y28" s="7">
        <v>8</v>
      </c>
      <c r="Z28" s="7">
        <v>8.5</v>
      </c>
      <c r="AA28" s="7">
        <v>8.5</v>
      </c>
      <c r="AB28" s="7">
        <v>8.5</v>
      </c>
      <c r="AC28" s="7">
        <v>8.5</v>
      </c>
      <c r="AD28" s="7">
        <v>75</v>
      </c>
      <c r="AE28" s="8">
        <v>151.5</v>
      </c>
      <c r="AF28" s="24">
        <v>3</v>
      </c>
      <c r="AG28" s="25">
        <v>3</v>
      </c>
      <c r="AH28" s="7">
        <v>10.5</v>
      </c>
      <c r="AI28" s="26" t="s">
        <v>7</v>
      </c>
      <c r="AJ28" s="26">
        <v>3.1</v>
      </c>
      <c r="AK28" s="7">
        <v>7.5</v>
      </c>
      <c r="AL28" s="7">
        <v>7.5</v>
      </c>
      <c r="AM28" s="7">
        <v>8</v>
      </c>
      <c r="AN28" s="7">
        <v>7.5</v>
      </c>
      <c r="AO28" s="7">
        <v>7.5</v>
      </c>
      <c r="AP28" s="7">
        <v>8</v>
      </c>
      <c r="AQ28" s="7">
        <v>8.5</v>
      </c>
      <c r="AR28" s="7">
        <v>71.3</v>
      </c>
      <c r="AS28" s="8">
        <v>222.8</v>
      </c>
      <c r="AT28" s="24">
        <v>4</v>
      </c>
      <c r="AU28" s="25">
        <v>3</v>
      </c>
      <c r="AV28" s="7">
        <v>23.2</v>
      </c>
      <c r="AW28" s="26" t="s">
        <v>4</v>
      </c>
      <c r="AX28" s="26">
        <v>3</v>
      </c>
      <c r="AY28" s="7">
        <v>7.5</v>
      </c>
      <c r="AZ28" s="7">
        <v>7.5</v>
      </c>
      <c r="BA28" s="7">
        <v>7.5</v>
      </c>
      <c r="BB28" s="7">
        <v>8</v>
      </c>
      <c r="BC28" s="7">
        <v>8</v>
      </c>
      <c r="BD28" s="7">
        <v>7.5</v>
      </c>
      <c r="BE28" s="7">
        <v>8</v>
      </c>
      <c r="BF28" s="7">
        <v>69</v>
      </c>
      <c r="BG28" s="8">
        <v>291.8</v>
      </c>
      <c r="BH28" s="24">
        <v>6</v>
      </c>
      <c r="BI28" s="25">
        <v>4</v>
      </c>
      <c r="BJ28" s="7">
        <v>33.25</v>
      </c>
      <c r="BK28" s="26" t="s">
        <v>6</v>
      </c>
      <c r="BL28" s="26">
        <v>3</v>
      </c>
      <c r="BM28" s="7">
        <v>9</v>
      </c>
      <c r="BN28" s="7">
        <v>8.5</v>
      </c>
      <c r="BO28" s="7">
        <v>9</v>
      </c>
      <c r="BP28" s="7">
        <v>9</v>
      </c>
      <c r="BQ28" s="7">
        <v>9.5</v>
      </c>
      <c r="BR28" s="7">
        <v>9</v>
      </c>
      <c r="BS28" s="7">
        <v>8.5</v>
      </c>
      <c r="BT28" s="7">
        <v>81</v>
      </c>
      <c r="BU28" s="8">
        <v>372.8</v>
      </c>
      <c r="BV28" s="24">
        <f>2</f>
        <v>2</v>
      </c>
      <c r="BW28" s="25">
        <v>3</v>
      </c>
      <c r="BX28" s="7">
        <v>33.25</v>
      </c>
      <c r="BY28" s="22">
        <v>2016</v>
      </c>
      <c r="BZ28" s="22" t="s">
        <v>9</v>
      </c>
      <c r="CA28" s="22" t="s">
        <v>10</v>
      </c>
    </row>
    <row r="29" spans="1:79" x14ac:dyDescent="0.35">
      <c r="A29" s="22">
        <v>4</v>
      </c>
      <c r="B29" s="22" t="s">
        <v>40</v>
      </c>
      <c r="C29" s="22" t="s">
        <v>135</v>
      </c>
      <c r="D29" s="22">
        <v>24</v>
      </c>
      <c r="E29" s="6">
        <v>367.25</v>
      </c>
      <c r="F29" s="6">
        <v>38.799999999999997</v>
      </c>
      <c r="G29" s="26" t="s">
        <v>4</v>
      </c>
      <c r="H29" s="26">
        <v>3</v>
      </c>
      <c r="I29" s="7">
        <v>8.5</v>
      </c>
      <c r="J29" s="7">
        <v>8</v>
      </c>
      <c r="K29" s="7">
        <v>8.5</v>
      </c>
      <c r="L29" s="7">
        <v>8.5</v>
      </c>
      <c r="M29" s="7">
        <v>8.5</v>
      </c>
      <c r="N29" s="7">
        <v>8</v>
      </c>
      <c r="O29" s="7">
        <v>8.5</v>
      </c>
      <c r="P29" s="7">
        <v>76.5</v>
      </c>
      <c r="Q29" s="8">
        <v>76.5</v>
      </c>
      <c r="R29" s="24">
        <f>3</f>
        <v>3</v>
      </c>
      <c r="S29" s="25">
        <f>3</f>
        <v>3</v>
      </c>
      <c r="T29" s="7">
        <v>4.5</v>
      </c>
      <c r="U29" s="26" t="s">
        <v>6</v>
      </c>
      <c r="V29" s="5">
        <v>3</v>
      </c>
      <c r="W29" s="7">
        <v>7.5</v>
      </c>
      <c r="X29" s="7">
        <v>7.5</v>
      </c>
      <c r="Y29" s="7">
        <v>8</v>
      </c>
      <c r="Z29" s="7">
        <v>7</v>
      </c>
      <c r="AA29" s="7">
        <v>8</v>
      </c>
      <c r="AB29" s="7">
        <v>7.5</v>
      </c>
      <c r="AC29" s="7">
        <v>8.5</v>
      </c>
      <c r="AD29" s="7">
        <v>69</v>
      </c>
      <c r="AE29" s="8">
        <v>145.5</v>
      </c>
      <c r="AF29" s="24">
        <v>4</v>
      </c>
      <c r="AG29" s="25">
        <v>4</v>
      </c>
      <c r="AH29" s="7">
        <v>16.5</v>
      </c>
      <c r="AI29" s="26" t="s">
        <v>7</v>
      </c>
      <c r="AJ29" s="26">
        <v>3.1</v>
      </c>
      <c r="AK29" s="7">
        <v>8</v>
      </c>
      <c r="AL29" s="7">
        <v>7.5</v>
      </c>
      <c r="AM29" s="7">
        <v>8.5</v>
      </c>
      <c r="AN29" s="7">
        <v>7.5</v>
      </c>
      <c r="AO29" s="7">
        <v>8</v>
      </c>
      <c r="AP29" s="7">
        <v>7.5</v>
      </c>
      <c r="AQ29" s="7">
        <v>8</v>
      </c>
      <c r="AR29" s="7">
        <v>72.849999999999994</v>
      </c>
      <c r="AS29" s="8">
        <v>218.35</v>
      </c>
      <c r="AT29" s="24">
        <v>3</v>
      </c>
      <c r="AU29" s="25">
        <v>4</v>
      </c>
      <c r="AV29" s="7">
        <v>27.65</v>
      </c>
      <c r="AW29" s="26" t="s">
        <v>13</v>
      </c>
      <c r="AX29" s="26">
        <v>3.4</v>
      </c>
      <c r="AY29" s="7">
        <v>7.5</v>
      </c>
      <c r="AZ29" s="7">
        <v>7.5</v>
      </c>
      <c r="BA29" s="7">
        <v>8</v>
      </c>
      <c r="BB29" s="7">
        <v>8</v>
      </c>
      <c r="BC29" s="7">
        <v>7.5</v>
      </c>
      <c r="BD29" s="7">
        <v>8</v>
      </c>
      <c r="BE29" s="7">
        <v>8</v>
      </c>
      <c r="BF29" s="7">
        <v>79.900000000000006</v>
      </c>
      <c r="BG29" s="8">
        <v>298.25</v>
      </c>
      <c r="BH29" s="24">
        <v>1</v>
      </c>
      <c r="BI29" s="25">
        <v>3</v>
      </c>
      <c r="BJ29" s="7">
        <v>26.8</v>
      </c>
      <c r="BK29" s="26" t="s">
        <v>5</v>
      </c>
      <c r="BL29" s="26">
        <v>3</v>
      </c>
      <c r="BM29" s="7">
        <v>7.5</v>
      </c>
      <c r="BN29" s="7">
        <v>7.5</v>
      </c>
      <c r="BO29" s="7">
        <v>8.5</v>
      </c>
      <c r="BP29" s="7">
        <v>8</v>
      </c>
      <c r="BQ29" s="7">
        <v>7.5</v>
      </c>
      <c r="BR29" s="7">
        <v>7.5</v>
      </c>
      <c r="BS29" s="7">
        <v>8.5</v>
      </c>
      <c r="BT29" s="7">
        <v>69</v>
      </c>
      <c r="BU29" s="8">
        <v>367.25</v>
      </c>
      <c r="BV29" s="24">
        <v>6</v>
      </c>
      <c r="BW29" s="25">
        <v>4</v>
      </c>
      <c r="BX29" s="7">
        <v>38.799999999999997</v>
      </c>
      <c r="BY29" s="22">
        <v>2016</v>
      </c>
      <c r="BZ29" s="22" t="s">
        <v>9</v>
      </c>
      <c r="CA29" s="22" t="s">
        <v>10</v>
      </c>
    </row>
    <row r="30" spans="1:79" x14ac:dyDescent="0.35">
      <c r="A30" s="22">
        <v>5</v>
      </c>
      <c r="B30" s="22" t="s">
        <v>12</v>
      </c>
      <c r="C30" s="22" t="s">
        <v>11</v>
      </c>
      <c r="D30" s="22">
        <v>20</v>
      </c>
      <c r="E30" s="6">
        <v>349.65</v>
      </c>
      <c r="F30" s="6">
        <v>56.4</v>
      </c>
      <c r="G30" s="26" t="s">
        <v>5</v>
      </c>
      <c r="H30" s="26">
        <v>3</v>
      </c>
      <c r="I30" s="7">
        <v>7.5</v>
      </c>
      <c r="J30" s="7">
        <v>7</v>
      </c>
      <c r="K30" s="7">
        <v>6.5</v>
      </c>
      <c r="L30" s="7">
        <v>7</v>
      </c>
      <c r="M30" s="7">
        <v>7</v>
      </c>
      <c r="N30" s="7">
        <v>7.5</v>
      </c>
      <c r="O30" s="7">
        <v>7.5</v>
      </c>
      <c r="P30" s="7">
        <v>64.5</v>
      </c>
      <c r="Q30" s="8">
        <v>64.5</v>
      </c>
      <c r="R30" s="24">
        <v>8</v>
      </c>
      <c r="S30" s="25">
        <v>8</v>
      </c>
      <c r="T30" s="7">
        <v>16.5</v>
      </c>
      <c r="U30" s="26" t="s">
        <v>6</v>
      </c>
      <c r="V30" s="5">
        <v>3</v>
      </c>
      <c r="W30" s="7">
        <v>6.5</v>
      </c>
      <c r="X30" s="7">
        <v>7</v>
      </c>
      <c r="Y30" s="7">
        <v>7.5</v>
      </c>
      <c r="Z30" s="7">
        <v>6.5</v>
      </c>
      <c r="AA30" s="7">
        <v>7</v>
      </c>
      <c r="AB30" s="7">
        <v>7.5</v>
      </c>
      <c r="AC30" s="7">
        <v>7.5</v>
      </c>
      <c r="AD30" s="7">
        <v>64.5</v>
      </c>
      <c r="AE30" s="8">
        <v>129</v>
      </c>
      <c r="AF30" s="24">
        <v>10</v>
      </c>
      <c r="AG30" s="25">
        <v>8</v>
      </c>
      <c r="AH30" s="7">
        <v>33</v>
      </c>
      <c r="AI30" s="26" t="s">
        <v>4</v>
      </c>
      <c r="AJ30" s="26">
        <v>3</v>
      </c>
      <c r="AK30" s="7">
        <v>7</v>
      </c>
      <c r="AL30" s="7">
        <v>7</v>
      </c>
      <c r="AM30" s="7">
        <v>6.5</v>
      </c>
      <c r="AN30" s="7">
        <v>7</v>
      </c>
      <c r="AO30" s="7">
        <v>6</v>
      </c>
      <c r="AP30" s="7">
        <v>6.5</v>
      </c>
      <c r="AQ30" s="7">
        <v>6</v>
      </c>
      <c r="AR30" s="7">
        <v>60</v>
      </c>
      <c r="AS30" s="8">
        <v>189</v>
      </c>
      <c r="AT30" s="24">
        <v>9</v>
      </c>
      <c r="AU30" s="25">
        <v>9</v>
      </c>
      <c r="AV30" s="7">
        <v>57</v>
      </c>
      <c r="AW30" s="26" t="s">
        <v>7</v>
      </c>
      <c r="AX30" s="26">
        <v>3.1</v>
      </c>
      <c r="AY30" s="7">
        <v>8.5</v>
      </c>
      <c r="AZ30" s="7">
        <v>8.5</v>
      </c>
      <c r="BA30" s="7">
        <v>8.5</v>
      </c>
      <c r="BB30" s="7">
        <v>8.5</v>
      </c>
      <c r="BC30" s="7">
        <v>8.5</v>
      </c>
      <c r="BD30" s="7">
        <v>8</v>
      </c>
      <c r="BE30" s="7">
        <v>8</v>
      </c>
      <c r="BF30" s="7">
        <v>79.05</v>
      </c>
      <c r="BG30" s="8">
        <v>268.05</v>
      </c>
      <c r="BH30" s="24">
        <f>2</f>
        <v>2</v>
      </c>
      <c r="BI30" s="25">
        <v>7</v>
      </c>
      <c r="BJ30" s="7">
        <v>57</v>
      </c>
      <c r="BK30" s="26" t="s">
        <v>13</v>
      </c>
      <c r="BL30" s="26">
        <v>3.4</v>
      </c>
      <c r="BM30" s="7">
        <v>8</v>
      </c>
      <c r="BN30" s="7">
        <v>8</v>
      </c>
      <c r="BO30" s="7">
        <v>8</v>
      </c>
      <c r="BP30" s="7">
        <v>8</v>
      </c>
      <c r="BQ30" s="7">
        <v>8</v>
      </c>
      <c r="BR30" s="7">
        <v>7.5</v>
      </c>
      <c r="BS30" s="7">
        <v>8</v>
      </c>
      <c r="BT30" s="7">
        <v>81.599999999999994</v>
      </c>
      <c r="BU30" s="8">
        <v>349.65</v>
      </c>
      <c r="BV30" s="24">
        <v>1</v>
      </c>
      <c r="BW30" s="25">
        <v>5</v>
      </c>
      <c r="BX30" s="7">
        <v>56.4</v>
      </c>
      <c r="BY30" s="22">
        <v>2016</v>
      </c>
      <c r="BZ30" s="22" t="s">
        <v>9</v>
      </c>
      <c r="CA30" s="22" t="s">
        <v>10</v>
      </c>
    </row>
    <row r="31" spans="1:79" x14ac:dyDescent="0.35">
      <c r="A31" s="22">
        <v>6</v>
      </c>
      <c r="B31" s="22" t="s">
        <v>12</v>
      </c>
      <c r="C31" s="22" t="s">
        <v>48</v>
      </c>
      <c r="D31" s="22">
        <v>24</v>
      </c>
      <c r="E31" s="6">
        <v>344.1</v>
      </c>
      <c r="F31" s="6">
        <v>61.95</v>
      </c>
      <c r="G31" s="26" t="s">
        <v>4</v>
      </c>
      <c r="H31" s="26">
        <v>3</v>
      </c>
      <c r="I31" s="7">
        <v>8</v>
      </c>
      <c r="J31" s="7">
        <v>8</v>
      </c>
      <c r="K31" s="7">
        <v>8</v>
      </c>
      <c r="L31" s="7">
        <v>8.5</v>
      </c>
      <c r="M31" s="7">
        <v>8</v>
      </c>
      <c r="N31" s="7">
        <v>8</v>
      </c>
      <c r="O31" s="7">
        <v>8</v>
      </c>
      <c r="P31" s="7">
        <v>72</v>
      </c>
      <c r="Q31" s="8">
        <v>72</v>
      </c>
      <c r="R31" s="24">
        <v>5</v>
      </c>
      <c r="S31" s="25">
        <v>5</v>
      </c>
      <c r="T31" s="7">
        <v>9</v>
      </c>
      <c r="U31" s="26" t="s">
        <v>7</v>
      </c>
      <c r="V31" s="5">
        <v>3.1</v>
      </c>
      <c r="W31" s="7">
        <v>6.5</v>
      </c>
      <c r="X31" s="7">
        <v>7</v>
      </c>
      <c r="Y31" s="7">
        <v>7</v>
      </c>
      <c r="Z31" s="7">
        <v>7</v>
      </c>
      <c r="AA31" s="7">
        <v>7</v>
      </c>
      <c r="AB31" s="7">
        <v>6.5</v>
      </c>
      <c r="AC31" s="7">
        <v>7</v>
      </c>
      <c r="AD31" s="7">
        <v>65.099999999999994</v>
      </c>
      <c r="AE31" s="8">
        <v>137.1</v>
      </c>
      <c r="AF31" s="24">
        <f>6</f>
        <v>6</v>
      </c>
      <c r="AG31" s="25">
        <v>5</v>
      </c>
      <c r="AH31" s="7">
        <v>24.9</v>
      </c>
      <c r="AI31" s="26" t="s">
        <v>5</v>
      </c>
      <c r="AJ31" s="26">
        <v>3</v>
      </c>
      <c r="AK31" s="7">
        <v>7.5</v>
      </c>
      <c r="AL31" s="7">
        <v>7.5</v>
      </c>
      <c r="AM31" s="7">
        <v>7.5</v>
      </c>
      <c r="AN31" s="7">
        <v>7.5</v>
      </c>
      <c r="AO31" s="7">
        <v>7.5</v>
      </c>
      <c r="AP31" s="7">
        <v>7.5</v>
      </c>
      <c r="AQ31" s="7">
        <v>8</v>
      </c>
      <c r="AR31" s="7">
        <v>67.5</v>
      </c>
      <c r="AS31" s="8">
        <v>204.6</v>
      </c>
      <c r="AT31" s="24">
        <f>5</f>
        <v>5</v>
      </c>
      <c r="AU31" s="25">
        <v>5</v>
      </c>
      <c r="AV31" s="7">
        <v>41.4</v>
      </c>
      <c r="AW31" s="26" t="s">
        <v>6</v>
      </c>
      <c r="AX31" s="26">
        <v>3</v>
      </c>
      <c r="AY31" s="7">
        <v>7.5</v>
      </c>
      <c r="AZ31" s="7">
        <v>7</v>
      </c>
      <c r="BA31" s="7">
        <v>7.5</v>
      </c>
      <c r="BB31" s="7">
        <v>7.5</v>
      </c>
      <c r="BC31" s="7">
        <v>7.5</v>
      </c>
      <c r="BD31" s="7">
        <v>8</v>
      </c>
      <c r="BE31" s="7">
        <v>7.5</v>
      </c>
      <c r="BF31" s="7">
        <v>67.5</v>
      </c>
      <c r="BG31" s="8">
        <v>272.10000000000002</v>
      </c>
      <c r="BH31" s="24">
        <f>7</f>
        <v>7</v>
      </c>
      <c r="BI31" s="25">
        <v>5</v>
      </c>
      <c r="BJ31" s="7">
        <v>52.95</v>
      </c>
      <c r="BK31" s="26" t="s">
        <v>8</v>
      </c>
      <c r="BL31" s="26">
        <v>3</v>
      </c>
      <c r="BM31" s="7">
        <v>8</v>
      </c>
      <c r="BN31" s="7">
        <v>7.5</v>
      </c>
      <c r="BO31" s="7">
        <v>8</v>
      </c>
      <c r="BP31" s="7">
        <v>8</v>
      </c>
      <c r="BQ31" s="7">
        <v>8</v>
      </c>
      <c r="BR31" s="7">
        <v>8</v>
      </c>
      <c r="BS31" s="7">
        <v>7.5</v>
      </c>
      <c r="BT31" s="7">
        <v>72</v>
      </c>
      <c r="BU31" s="8">
        <v>344.1</v>
      </c>
      <c r="BV31" s="24">
        <v>5</v>
      </c>
      <c r="BW31" s="25">
        <v>6</v>
      </c>
      <c r="BX31" s="7">
        <v>61.95</v>
      </c>
      <c r="BY31" s="22">
        <v>2016</v>
      </c>
      <c r="BZ31" s="22" t="s">
        <v>9</v>
      </c>
      <c r="CA31" s="22" t="s">
        <v>10</v>
      </c>
    </row>
    <row r="32" spans="1:79" x14ac:dyDescent="0.35">
      <c r="A32" s="22">
        <v>7</v>
      </c>
      <c r="B32" s="22" t="s">
        <v>40</v>
      </c>
      <c r="C32" s="22" t="s">
        <v>51</v>
      </c>
      <c r="D32" s="22">
        <v>23</v>
      </c>
      <c r="E32" s="6">
        <v>323.14999999999998</v>
      </c>
      <c r="F32" s="6">
        <v>82.9</v>
      </c>
      <c r="G32" s="26" t="s">
        <v>5</v>
      </c>
      <c r="H32" s="26">
        <v>3</v>
      </c>
      <c r="I32" s="7">
        <v>7</v>
      </c>
      <c r="J32" s="7">
        <v>7</v>
      </c>
      <c r="K32" s="7">
        <v>7.5</v>
      </c>
      <c r="L32" s="7">
        <v>7</v>
      </c>
      <c r="M32" s="7">
        <v>7.5</v>
      </c>
      <c r="N32" s="7">
        <v>7</v>
      </c>
      <c r="O32" s="7">
        <v>7</v>
      </c>
      <c r="P32" s="7">
        <v>63</v>
      </c>
      <c r="Q32" s="8">
        <v>63</v>
      </c>
      <c r="R32" s="24">
        <f>9</f>
        <v>9</v>
      </c>
      <c r="S32" s="25">
        <f>9</f>
        <v>9</v>
      </c>
      <c r="T32" s="7">
        <v>18</v>
      </c>
      <c r="U32" s="26" t="s">
        <v>7</v>
      </c>
      <c r="V32" s="5">
        <v>3.1</v>
      </c>
      <c r="W32" s="7">
        <v>7</v>
      </c>
      <c r="X32" s="7">
        <v>7</v>
      </c>
      <c r="Y32" s="7">
        <v>7.5</v>
      </c>
      <c r="Z32" s="7">
        <v>7.5</v>
      </c>
      <c r="AA32" s="7">
        <v>7.5</v>
      </c>
      <c r="AB32" s="7">
        <v>7</v>
      </c>
      <c r="AC32" s="7">
        <v>7</v>
      </c>
      <c r="AD32" s="7">
        <v>66.650000000000006</v>
      </c>
      <c r="AE32" s="8">
        <v>129.65</v>
      </c>
      <c r="AF32" s="24">
        <v>5</v>
      </c>
      <c r="AG32" s="25">
        <v>7</v>
      </c>
      <c r="AH32" s="7">
        <v>32.35</v>
      </c>
      <c r="AI32" s="26" t="s">
        <v>4</v>
      </c>
      <c r="AJ32" s="26">
        <v>3</v>
      </c>
      <c r="AK32" s="7">
        <v>7.5</v>
      </c>
      <c r="AL32" s="7">
        <v>7.5</v>
      </c>
      <c r="AM32" s="7">
        <v>7.5</v>
      </c>
      <c r="AN32" s="7">
        <v>7.5</v>
      </c>
      <c r="AO32" s="7">
        <v>7.5</v>
      </c>
      <c r="AP32" s="7">
        <v>7.5</v>
      </c>
      <c r="AQ32" s="7">
        <v>8</v>
      </c>
      <c r="AR32" s="7">
        <v>67.5</v>
      </c>
      <c r="AS32" s="8">
        <v>197.15</v>
      </c>
      <c r="AT32" s="24">
        <f>5</f>
        <v>5</v>
      </c>
      <c r="AU32" s="25">
        <v>7</v>
      </c>
      <c r="AV32" s="7">
        <v>48.85</v>
      </c>
      <c r="AW32" s="26" t="s">
        <v>6</v>
      </c>
      <c r="AX32" s="26">
        <v>3</v>
      </c>
      <c r="AY32" s="7">
        <v>8</v>
      </c>
      <c r="AZ32" s="7">
        <v>7.5</v>
      </c>
      <c r="BA32" s="7">
        <v>8.5</v>
      </c>
      <c r="BB32" s="7">
        <v>8</v>
      </c>
      <c r="BC32" s="7">
        <v>8.5</v>
      </c>
      <c r="BD32" s="7">
        <v>8</v>
      </c>
      <c r="BE32" s="7">
        <v>8.5</v>
      </c>
      <c r="BF32" s="7">
        <v>73.5</v>
      </c>
      <c r="BG32" s="8">
        <v>270.64999999999998</v>
      </c>
      <c r="BH32" s="24">
        <v>5</v>
      </c>
      <c r="BI32" s="25">
        <v>6</v>
      </c>
      <c r="BJ32" s="7">
        <v>54.4</v>
      </c>
      <c r="BK32" s="26" t="s">
        <v>8</v>
      </c>
      <c r="BL32" s="26">
        <v>3</v>
      </c>
      <c r="BM32" s="7">
        <v>5.5</v>
      </c>
      <c r="BN32" s="7">
        <v>6</v>
      </c>
      <c r="BO32" s="7">
        <v>5.5</v>
      </c>
      <c r="BP32" s="7">
        <v>6.5</v>
      </c>
      <c r="BQ32" s="7">
        <v>6.5</v>
      </c>
      <c r="BR32" s="7">
        <v>5.5</v>
      </c>
      <c r="BS32" s="7">
        <v>6</v>
      </c>
      <c r="BT32" s="7">
        <v>52.5</v>
      </c>
      <c r="BU32" s="8">
        <v>323.14999999999998</v>
      </c>
      <c r="BV32" s="24">
        <v>12</v>
      </c>
      <c r="BW32" s="25">
        <v>7</v>
      </c>
      <c r="BX32" s="7">
        <v>82.9</v>
      </c>
      <c r="BY32" s="22">
        <v>2016</v>
      </c>
      <c r="BZ32" s="22" t="s">
        <v>9</v>
      </c>
      <c r="CA32" s="22" t="s">
        <v>10</v>
      </c>
    </row>
    <row r="33" spans="1:79" x14ac:dyDescent="0.35">
      <c r="A33" s="22">
        <v>8</v>
      </c>
      <c r="B33" s="22" t="s">
        <v>17</v>
      </c>
      <c r="C33" s="22" t="s">
        <v>27</v>
      </c>
      <c r="D33" s="22">
        <v>20</v>
      </c>
      <c r="E33" s="6">
        <v>318.60000000000002</v>
      </c>
      <c r="F33" s="6">
        <v>87.45</v>
      </c>
      <c r="G33" s="26" t="s">
        <v>4</v>
      </c>
      <c r="H33" s="26">
        <v>3</v>
      </c>
      <c r="I33" s="7">
        <v>7</v>
      </c>
      <c r="J33" s="7">
        <v>7.5</v>
      </c>
      <c r="K33" s="7">
        <v>7</v>
      </c>
      <c r="L33" s="7">
        <v>7</v>
      </c>
      <c r="M33" s="7">
        <v>7</v>
      </c>
      <c r="N33" s="7">
        <v>6.5</v>
      </c>
      <c r="O33" s="7">
        <v>7</v>
      </c>
      <c r="P33" s="7">
        <v>63</v>
      </c>
      <c r="Q33" s="8">
        <v>63</v>
      </c>
      <c r="R33" s="24">
        <f>9</f>
        <v>9</v>
      </c>
      <c r="S33" s="25">
        <f>9</f>
        <v>9</v>
      </c>
      <c r="T33" s="7">
        <v>18</v>
      </c>
      <c r="U33" s="26" t="s">
        <v>7</v>
      </c>
      <c r="V33" s="5">
        <v>3.1</v>
      </c>
      <c r="W33" s="7">
        <v>7</v>
      </c>
      <c r="X33" s="7">
        <v>7</v>
      </c>
      <c r="Y33" s="7">
        <v>7</v>
      </c>
      <c r="Z33" s="7">
        <v>7</v>
      </c>
      <c r="AA33" s="7">
        <v>7</v>
      </c>
      <c r="AB33" s="7">
        <v>7.5</v>
      </c>
      <c r="AC33" s="7">
        <v>7</v>
      </c>
      <c r="AD33" s="7">
        <v>65.099999999999994</v>
      </c>
      <c r="AE33" s="8">
        <v>128.1</v>
      </c>
      <c r="AF33" s="24">
        <f>6</f>
        <v>6</v>
      </c>
      <c r="AG33" s="25">
        <f>9</f>
        <v>9</v>
      </c>
      <c r="AH33" s="7">
        <v>33.9</v>
      </c>
      <c r="AI33" s="26" t="s">
        <v>6</v>
      </c>
      <c r="AJ33" s="26">
        <v>3</v>
      </c>
      <c r="AK33" s="7">
        <v>6.5</v>
      </c>
      <c r="AL33" s="7">
        <v>6.5</v>
      </c>
      <c r="AM33" s="7">
        <v>6.5</v>
      </c>
      <c r="AN33" s="7">
        <v>6.5</v>
      </c>
      <c r="AO33" s="7">
        <v>6.5</v>
      </c>
      <c r="AP33" s="7">
        <v>7</v>
      </c>
      <c r="AQ33" s="7">
        <v>6.5</v>
      </c>
      <c r="AR33" s="7">
        <v>58.5</v>
      </c>
      <c r="AS33" s="8">
        <v>186.6</v>
      </c>
      <c r="AT33" s="24">
        <v>10</v>
      </c>
      <c r="AU33" s="25">
        <v>10</v>
      </c>
      <c r="AV33" s="7">
        <v>59.4</v>
      </c>
      <c r="AW33" s="26" t="s">
        <v>5</v>
      </c>
      <c r="AX33" s="26">
        <v>3</v>
      </c>
      <c r="AY33" s="7">
        <v>7</v>
      </c>
      <c r="AZ33" s="7">
        <v>7</v>
      </c>
      <c r="BA33" s="7">
        <v>7</v>
      </c>
      <c r="BB33" s="7">
        <v>7</v>
      </c>
      <c r="BC33" s="7">
        <v>7.5</v>
      </c>
      <c r="BD33" s="7">
        <v>7.5</v>
      </c>
      <c r="BE33" s="7">
        <v>7.5</v>
      </c>
      <c r="BF33" s="7">
        <v>64.5</v>
      </c>
      <c r="BG33" s="8">
        <v>251.1</v>
      </c>
      <c r="BH33" s="24">
        <v>9</v>
      </c>
      <c r="BI33" s="25">
        <v>8</v>
      </c>
      <c r="BJ33" s="7">
        <v>73.95</v>
      </c>
      <c r="BK33" s="26" t="s">
        <v>8</v>
      </c>
      <c r="BL33" s="26">
        <v>3</v>
      </c>
      <c r="BM33" s="7">
        <v>7</v>
      </c>
      <c r="BN33" s="7">
        <v>7.5</v>
      </c>
      <c r="BO33" s="7">
        <v>7.5</v>
      </c>
      <c r="BP33" s="7">
        <v>7.5</v>
      </c>
      <c r="BQ33" s="7">
        <v>7.5</v>
      </c>
      <c r="BR33" s="7">
        <v>7.5</v>
      </c>
      <c r="BS33" s="7">
        <v>7</v>
      </c>
      <c r="BT33" s="7">
        <v>67.5</v>
      </c>
      <c r="BU33" s="8">
        <v>318.60000000000002</v>
      </c>
      <c r="BV33" s="24">
        <f>7</f>
        <v>7</v>
      </c>
      <c r="BW33" s="25">
        <v>8</v>
      </c>
      <c r="BX33" s="7">
        <v>87.45</v>
      </c>
      <c r="BY33" s="22">
        <v>2016</v>
      </c>
      <c r="BZ33" s="22" t="s">
        <v>9</v>
      </c>
      <c r="CA33" s="22" t="s">
        <v>10</v>
      </c>
    </row>
    <row r="34" spans="1:79" x14ac:dyDescent="0.35">
      <c r="A34" s="22">
        <v>9</v>
      </c>
      <c r="B34" s="22" t="s">
        <v>20</v>
      </c>
      <c r="C34" s="22" t="s">
        <v>52</v>
      </c>
      <c r="D34" s="22">
        <v>28</v>
      </c>
      <c r="E34" s="6">
        <v>317.10000000000002</v>
      </c>
      <c r="F34" s="6">
        <v>88.95</v>
      </c>
      <c r="G34" s="26" t="s">
        <v>4</v>
      </c>
      <c r="H34" s="26">
        <v>3</v>
      </c>
      <c r="I34" s="7">
        <v>7</v>
      </c>
      <c r="J34" s="7">
        <v>7</v>
      </c>
      <c r="K34" s="7">
        <v>7</v>
      </c>
      <c r="L34" s="7">
        <v>7</v>
      </c>
      <c r="M34" s="7">
        <v>7.5</v>
      </c>
      <c r="N34" s="7">
        <v>7</v>
      </c>
      <c r="O34" s="7">
        <v>7</v>
      </c>
      <c r="P34" s="7">
        <v>63</v>
      </c>
      <c r="Q34" s="8">
        <v>63</v>
      </c>
      <c r="R34" s="24">
        <f>9</f>
        <v>9</v>
      </c>
      <c r="S34" s="25">
        <f>9</f>
        <v>9</v>
      </c>
      <c r="T34" s="7">
        <v>18</v>
      </c>
      <c r="U34" s="26" t="s">
        <v>7</v>
      </c>
      <c r="V34" s="5">
        <v>3.1</v>
      </c>
      <c r="W34" s="7">
        <v>6.5</v>
      </c>
      <c r="X34" s="7">
        <v>7</v>
      </c>
      <c r="Y34" s="7">
        <v>7</v>
      </c>
      <c r="Z34" s="7">
        <v>7</v>
      </c>
      <c r="AA34" s="7">
        <v>7</v>
      </c>
      <c r="AB34" s="7">
        <v>7.5</v>
      </c>
      <c r="AC34" s="7">
        <v>7.5</v>
      </c>
      <c r="AD34" s="7">
        <v>65.099999999999994</v>
      </c>
      <c r="AE34" s="8">
        <v>128.1</v>
      </c>
      <c r="AF34" s="24">
        <f>6</f>
        <v>6</v>
      </c>
      <c r="AG34" s="25">
        <f>9</f>
        <v>9</v>
      </c>
      <c r="AH34" s="7">
        <v>33.9</v>
      </c>
      <c r="AI34" s="26" t="s">
        <v>5</v>
      </c>
      <c r="AJ34" s="26">
        <v>3</v>
      </c>
      <c r="AK34" s="7">
        <v>7</v>
      </c>
      <c r="AL34" s="7">
        <v>7</v>
      </c>
      <c r="AM34" s="7">
        <v>7</v>
      </c>
      <c r="AN34" s="7">
        <v>7</v>
      </c>
      <c r="AO34" s="7">
        <v>6.5</v>
      </c>
      <c r="AP34" s="7">
        <v>7</v>
      </c>
      <c r="AQ34" s="7">
        <v>7.5</v>
      </c>
      <c r="AR34" s="7">
        <v>63</v>
      </c>
      <c r="AS34" s="8">
        <v>191.1</v>
      </c>
      <c r="AT34" s="24">
        <v>8</v>
      </c>
      <c r="AU34" s="25">
        <v>8</v>
      </c>
      <c r="AV34" s="7">
        <v>54.9</v>
      </c>
      <c r="AW34" s="26" t="s">
        <v>6</v>
      </c>
      <c r="AX34" s="26">
        <v>3</v>
      </c>
      <c r="AY34" s="7">
        <v>6.5</v>
      </c>
      <c r="AZ34" s="7">
        <v>6.5</v>
      </c>
      <c r="BA34" s="7">
        <v>6.5</v>
      </c>
      <c r="BB34" s="7">
        <v>7</v>
      </c>
      <c r="BC34" s="7">
        <v>6.5</v>
      </c>
      <c r="BD34" s="7">
        <v>7</v>
      </c>
      <c r="BE34" s="7">
        <v>6.5</v>
      </c>
      <c r="BF34" s="7">
        <v>58.5</v>
      </c>
      <c r="BG34" s="8">
        <v>249.6</v>
      </c>
      <c r="BH34" s="24">
        <v>11</v>
      </c>
      <c r="BI34" s="25">
        <v>9</v>
      </c>
      <c r="BJ34" s="7">
        <v>75.45</v>
      </c>
      <c r="BK34" s="26" t="s">
        <v>8</v>
      </c>
      <c r="BL34" s="26">
        <v>3</v>
      </c>
      <c r="BM34" s="7">
        <v>7</v>
      </c>
      <c r="BN34" s="7">
        <v>7.5</v>
      </c>
      <c r="BO34" s="7">
        <v>7.5</v>
      </c>
      <c r="BP34" s="7">
        <v>7.5</v>
      </c>
      <c r="BQ34" s="7">
        <v>7.5</v>
      </c>
      <c r="BR34" s="7">
        <v>7.5</v>
      </c>
      <c r="BS34" s="7">
        <v>7</v>
      </c>
      <c r="BT34" s="7">
        <v>67.5</v>
      </c>
      <c r="BU34" s="8">
        <v>317.10000000000002</v>
      </c>
      <c r="BV34" s="24">
        <f>7</f>
        <v>7</v>
      </c>
      <c r="BW34" s="25">
        <v>9</v>
      </c>
      <c r="BX34" s="7">
        <v>88.95</v>
      </c>
      <c r="BY34" s="22">
        <v>2016</v>
      </c>
      <c r="BZ34" s="22" t="s">
        <v>9</v>
      </c>
      <c r="CA34" s="22" t="s">
        <v>10</v>
      </c>
    </row>
    <row r="35" spans="1:79" x14ac:dyDescent="0.35">
      <c r="A35" s="22">
        <v>10</v>
      </c>
      <c r="B35" s="22" t="s">
        <v>30</v>
      </c>
      <c r="C35" s="22" t="s">
        <v>53</v>
      </c>
      <c r="D35" s="22">
        <v>23</v>
      </c>
      <c r="E35" s="6">
        <v>306.60000000000002</v>
      </c>
      <c r="F35" s="6">
        <v>99.45</v>
      </c>
      <c r="G35" s="26" t="s">
        <v>4</v>
      </c>
      <c r="H35" s="26">
        <v>3</v>
      </c>
      <c r="I35" s="7">
        <v>7.5</v>
      </c>
      <c r="J35" s="7">
        <v>7.5</v>
      </c>
      <c r="K35" s="7">
        <v>7.5</v>
      </c>
      <c r="L35" s="7">
        <v>7</v>
      </c>
      <c r="M35" s="7">
        <v>7.5</v>
      </c>
      <c r="N35" s="7">
        <v>7</v>
      </c>
      <c r="O35" s="7">
        <v>7.5</v>
      </c>
      <c r="P35" s="7">
        <v>67.5</v>
      </c>
      <c r="Q35" s="8">
        <v>67.5</v>
      </c>
      <c r="R35" s="24">
        <f>6</f>
        <v>6</v>
      </c>
      <c r="S35" s="25">
        <f>6</f>
        <v>6</v>
      </c>
      <c r="T35" s="7">
        <v>13.5</v>
      </c>
      <c r="U35" s="26" t="s">
        <v>7</v>
      </c>
      <c r="V35" s="5">
        <v>3.1</v>
      </c>
      <c r="W35" s="7">
        <v>7</v>
      </c>
      <c r="X35" s="7">
        <v>7</v>
      </c>
      <c r="Y35" s="7">
        <v>7.5</v>
      </c>
      <c r="Z35" s="7">
        <v>7</v>
      </c>
      <c r="AA35" s="7">
        <v>7.5</v>
      </c>
      <c r="AB35" s="7">
        <v>6.5</v>
      </c>
      <c r="AC35" s="7">
        <v>7</v>
      </c>
      <c r="AD35" s="7">
        <v>65.099999999999994</v>
      </c>
      <c r="AE35" s="8">
        <v>132.6</v>
      </c>
      <c r="AF35" s="24">
        <f>6</f>
        <v>6</v>
      </c>
      <c r="AG35" s="25">
        <v>6</v>
      </c>
      <c r="AH35" s="7">
        <v>29.4</v>
      </c>
      <c r="AI35" s="26" t="s">
        <v>5</v>
      </c>
      <c r="AJ35" s="26">
        <v>3</v>
      </c>
      <c r="AK35" s="7">
        <v>7</v>
      </c>
      <c r="AL35" s="7">
        <v>7.5</v>
      </c>
      <c r="AM35" s="7">
        <v>7.5</v>
      </c>
      <c r="AN35" s="7">
        <v>7.5</v>
      </c>
      <c r="AO35" s="7">
        <v>7.5</v>
      </c>
      <c r="AP35" s="7">
        <v>7</v>
      </c>
      <c r="AQ35" s="7">
        <v>7.5</v>
      </c>
      <c r="AR35" s="7">
        <v>67.5</v>
      </c>
      <c r="AS35" s="8">
        <v>200.1</v>
      </c>
      <c r="AT35" s="24">
        <f>5</f>
        <v>5</v>
      </c>
      <c r="AU35" s="25">
        <v>6</v>
      </c>
      <c r="AV35" s="7">
        <v>45.9</v>
      </c>
      <c r="AW35" s="26" t="s">
        <v>6</v>
      </c>
      <c r="AX35" s="26">
        <v>3</v>
      </c>
      <c r="AY35" s="7">
        <v>4.5</v>
      </c>
      <c r="AZ35" s="7">
        <v>4.5</v>
      </c>
      <c r="BA35" s="7">
        <v>5.5</v>
      </c>
      <c r="BB35" s="7">
        <v>4.5</v>
      </c>
      <c r="BC35" s="7">
        <v>6</v>
      </c>
      <c r="BD35" s="7">
        <v>4.5</v>
      </c>
      <c r="BE35" s="7">
        <v>4</v>
      </c>
      <c r="BF35" s="7">
        <v>40.5</v>
      </c>
      <c r="BG35" s="8">
        <v>240.6</v>
      </c>
      <c r="BH35" s="24">
        <v>12</v>
      </c>
      <c r="BI35" s="25">
        <v>10</v>
      </c>
      <c r="BJ35" s="7">
        <v>84.45</v>
      </c>
      <c r="BK35" s="26" t="s">
        <v>8</v>
      </c>
      <c r="BL35" s="26">
        <v>3</v>
      </c>
      <c r="BM35" s="7">
        <v>7</v>
      </c>
      <c r="BN35" s="7">
        <v>7.5</v>
      </c>
      <c r="BO35" s="7">
        <v>7.5</v>
      </c>
      <c r="BP35" s="7">
        <v>7.5</v>
      </c>
      <c r="BQ35" s="7">
        <v>7.5</v>
      </c>
      <c r="BR35" s="7">
        <v>6.5</v>
      </c>
      <c r="BS35" s="7">
        <v>7</v>
      </c>
      <c r="BT35" s="7">
        <v>66</v>
      </c>
      <c r="BU35" s="8">
        <v>306.60000000000002</v>
      </c>
      <c r="BV35" s="24">
        <f>10</f>
        <v>10</v>
      </c>
      <c r="BW35" s="25">
        <v>10</v>
      </c>
      <c r="BX35" s="7">
        <v>99.45</v>
      </c>
      <c r="BY35" s="22">
        <v>2016</v>
      </c>
      <c r="BZ35" s="22" t="s">
        <v>9</v>
      </c>
      <c r="CA35" s="22" t="s">
        <v>10</v>
      </c>
    </row>
    <row r="36" spans="1:79" x14ac:dyDescent="0.35">
      <c r="A36" s="22">
        <v>11</v>
      </c>
      <c r="B36" s="22" t="s">
        <v>55</v>
      </c>
      <c r="C36" s="22" t="s">
        <v>54</v>
      </c>
      <c r="D36" s="22">
        <v>29</v>
      </c>
      <c r="E36" s="6">
        <v>304.8</v>
      </c>
      <c r="F36" s="6">
        <v>101.25</v>
      </c>
      <c r="G36" s="26" t="s">
        <v>5</v>
      </c>
      <c r="H36" s="26">
        <v>3</v>
      </c>
      <c r="I36" s="7">
        <v>7</v>
      </c>
      <c r="J36" s="7">
        <v>7</v>
      </c>
      <c r="K36" s="7">
        <v>7</v>
      </c>
      <c r="L36" s="7">
        <v>7</v>
      </c>
      <c r="M36" s="7">
        <v>6.5</v>
      </c>
      <c r="N36" s="7">
        <v>7</v>
      </c>
      <c r="O36" s="7">
        <v>7</v>
      </c>
      <c r="P36" s="7">
        <v>63</v>
      </c>
      <c r="Q36" s="8">
        <v>63</v>
      </c>
      <c r="R36" s="24">
        <f>9</f>
        <v>9</v>
      </c>
      <c r="S36" s="25">
        <f>9</f>
        <v>9</v>
      </c>
      <c r="T36" s="7">
        <v>18</v>
      </c>
      <c r="U36" s="26" t="s">
        <v>6</v>
      </c>
      <c r="V36" s="5">
        <v>3</v>
      </c>
      <c r="W36" s="7">
        <v>6.5</v>
      </c>
      <c r="X36" s="7">
        <v>6.5</v>
      </c>
      <c r="Y36" s="7">
        <v>6.5</v>
      </c>
      <c r="Z36" s="7">
        <v>6</v>
      </c>
      <c r="AA36" s="7">
        <v>6.5</v>
      </c>
      <c r="AB36" s="7">
        <v>6</v>
      </c>
      <c r="AC36" s="7">
        <v>6.5</v>
      </c>
      <c r="AD36" s="7">
        <v>58.5</v>
      </c>
      <c r="AE36" s="8">
        <v>121.5</v>
      </c>
      <c r="AF36" s="24">
        <v>12</v>
      </c>
      <c r="AG36" s="25">
        <v>12</v>
      </c>
      <c r="AH36" s="7">
        <v>40.5</v>
      </c>
      <c r="AI36" s="26" t="s">
        <v>4</v>
      </c>
      <c r="AJ36" s="26">
        <v>3</v>
      </c>
      <c r="AK36" s="7">
        <v>6.5</v>
      </c>
      <c r="AL36" s="7">
        <v>6.5</v>
      </c>
      <c r="AM36" s="7">
        <v>6.5</v>
      </c>
      <c r="AN36" s="7">
        <v>6</v>
      </c>
      <c r="AO36" s="7">
        <v>6</v>
      </c>
      <c r="AP36" s="7">
        <v>6</v>
      </c>
      <c r="AQ36" s="7">
        <v>7</v>
      </c>
      <c r="AR36" s="7">
        <v>57</v>
      </c>
      <c r="AS36" s="8">
        <v>178.5</v>
      </c>
      <c r="AT36" s="24">
        <v>11</v>
      </c>
      <c r="AU36" s="25">
        <v>11</v>
      </c>
      <c r="AV36" s="7">
        <v>67.5</v>
      </c>
      <c r="AW36" s="26" t="s">
        <v>42</v>
      </c>
      <c r="AX36" s="26">
        <v>2.8</v>
      </c>
      <c r="AY36" s="7">
        <v>6.5</v>
      </c>
      <c r="AZ36" s="7">
        <v>7.5</v>
      </c>
      <c r="BA36" s="7">
        <v>7.5</v>
      </c>
      <c r="BB36" s="7">
        <v>7</v>
      </c>
      <c r="BC36" s="7">
        <v>7</v>
      </c>
      <c r="BD36" s="7">
        <v>7</v>
      </c>
      <c r="BE36" s="7">
        <v>6.5</v>
      </c>
      <c r="BF36" s="7">
        <v>58.8</v>
      </c>
      <c r="BG36" s="8">
        <v>237.3</v>
      </c>
      <c r="BH36" s="24">
        <v>10</v>
      </c>
      <c r="BI36" s="25">
        <v>11</v>
      </c>
      <c r="BJ36" s="7">
        <v>87.75</v>
      </c>
      <c r="BK36" s="26" t="s">
        <v>8</v>
      </c>
      <c r="BL36" s="26">
        <v>3</v>
      </c>
      <c r="BM36" s="7">
        <v>7.5</v>
      </c>
      <c r="BN36" s="7">
        <v>7.5</v>
      </c>
      <c r="BO36" s="7">
        <v>8</v>
      </c>
      <c r="BP36" s="7">
        <v>7.5</v>
      </c>
      <c r="BQ36" s="7">
        <v>7.5</v>
      </c>
      <c r="BR36" s="7">
        <v>7.5</v>
      </c>
      <c r="BS36" s="7">
        <v>7.5</v>
      </c>
      <c r="BT36" s="7">
        <v>67.5</v>
      </c>
      <c r="BU36" s="8">
        <v>304.8</v>
      </c>
      <c r="BV36" s="24">
        <f>7</f>
        <v>7</v>
      </c>
      <c r="BW36" s="25">
        <v>11</v>
      </c>
      <c r="BX36" s="7">
        <v>101.25</v>
      </c>
      <c r="BY36" s="22">
        <v>2016</v>
      </c>
      <c r="BZ36" s="22" t="s">
        <v>9</v>
      </c>
      <c r="CA36" s="22" t="s">
        <v>10</v>
      </c>
    </row>
    <row r="37" spans="1:79" x14ac:dyDescent="0.35">
      <c r="A37" s="22">
        <v>12</v>
      </c>
      <c r="B37" s="22" t="s">
        <v>34</v>
      </c>
      <c r="C37" s="22" t="s">
        <v>56</v>
      </c>
      <c r="D37" s="22">
        <v>26</v>
      </c>
      <c r="E37" s="6">
        <v>302.85000000000002</v>
      </c>
      <c r="F37" s="6">
        <v>103.2</v>
      </c>
      <c r="G37" s="26" t="s">
        <v>5</v>
      </c>
      <c r="H37" s="26">
        <v>3</v>
      </c>
      <c r="I37" s="7">
        <v>8</v>
      </c>
      <c r="J37" s="7">
        <v>7.5</v>
      </c>
      <c r="K37" s="7">
        <v>7.5</v>
      </c>
      <c r="L37" s="7">
        <v>7.5</v>
      </c>
      <c r="M37" s="7">
        <v>7.5</v>
      </c>
      <c r="N37" s="7">
        <v>7.5</v>
      </c>
      <c r="O37" s="7">
        <v>8</v>
      </c>
      <c r="P37" s="7">
        <v>67.5</v>
      </c>
      <c r="Q37" s="8">
        <v>67.5</v>
      </c>
      <c r="R37" s="24">
        <f>6</f>
        <v>6</v>
      </c>
      <c r="S37" s="25">
        <f>6</f>
        <v>6</v>
      </c>
      <c r="T37" s="7">
        <v>13.5</v>
      </c>
      <c r="U37" s="26" t="s">
        <v>6</v>
      </c>
      <c r="V37" s="5">
        <v>3</v>
      </c>
      <c r="W37" s="7">
        <v>6.5</v>
      </c>
      <c r="X37" s="7">
        <v>6.5</v>
      </c>
      <c r="Y37" s="7">
        <v>6.5</v>
      </c>
      <c r="Z37" s="7">
        <v>7</v>
      </c>
      <c r="AA37" s="7">
        <v>7</v>
      </c>
      <c r="AB37" s="7">
        <v>7</v>
      </c>
      <c r="AC37" s="7">
        <v>6.5</v>
      </c>
      <c r="AD37" s="7">
        <v>60</v>
      </c>
      <c r="AE37" s="8">
        <v>127.5</v>
      </c>
      <c r="AF37" s="24">
        <v>11</v>
      </c>
      <c r="AG37" s="25">
        <v>11</v>
      </c>
      <c r="AH37" s="7">
        <v>34.5</v>
      </c>
      <c r="AI37" s="26" t="s">
        <v>7</v>
      </c>
      <c r="AJ37" s="26">
        <v>3.1</v>
      </c>
      <c r="AK37" s="7">
        <v>4.5</v>
      </c>
      <c r="AL37" s="7">
        <v>5</v>
      </c>
      <c r="AM37" s="7">
        <v>4.5</v>
      </c>
      <c r="AN37" s="7">
        <v>4</v>
      </c>
      <c r="AO37" s="7">
        <v>4.5</v>
      </c>
      <c r="AP37" s="7">
        <v>4.5</v>
      </c>
      <c r="AQ37" s="7">
        <v>5.5</v>
      </c>
      <c r="AR37" s="7">
        <v>41.85</v>
      </c>
      <c r="AS37" s="8">
        <v>169.35</v>
      </c>
      <c r="AT37" s="24">
        <v>12</v>
      </c>
      <c r="AU37" s="25">
        <v>12</v>
      </c>
      <c r="AV37" s="7">
        <v>76.650000000000006</v>
      </c>
      <c r="AW37" s="26" t="s">
        <v>4</v>
      </c>
      <c r="AX37" s="26">
        <v>3</v>
      </c>
      <c r="AY37" s="7">
        <v>7.5</v>
      </c>
      <c r="AZ37" s="7">
        <v>7.5</v>
      </c>
      <c r="BA37" s="7">
        <v>7.5</v>
      </c>
      <c r="BB37" s="7">
        <v>7.5</v>
      </c>
      <c r="BC37" s="7">
        <v>8</v>
      </c>
      <c r="BD37" s="7">
        <v>7.5</v>
      </c>
      <c r="BE37" s="7">
        <v>7.5</v>
      </c>
      <c r="BF37" s="7">
        <v>67.5</v>
      </c>
      <c r="BG37" s="8">
        <v>236.85</v>
      </c>
      <c r="BH37" s="24">
        <f>7</f>
        <v>7</v>
      </c>
      <c r="BI37" s="25">
        <v>12</v>
      </c>
      <c r="BJ37" s="7">
        <v>88.2</v>
      </c>
      <c r="BK37" s="26" t="s">
        <v>8</v>
      </c>
      <c r="BL37" s="26">
        <v>3</v>
      </c>
      <c r="BM37" s="7">
        <v>7</v>
      </c>
      <c r="BN37" s="7">
        <v>7.5</v>
      </c>
      <c r="BO37" s="7">
        <v>7.5</v>
      </c>
      <c r="BP37" s="7">
        <v>7.5</v>
      </c>
      <c r="BQ37" s="7">
        <v>7.5</v>
      </c>
      <c r="BR37" s="7">
        <v>7</v>
      </c>
      <c r="BS37" s="7">
        <v>7</v>
      </c>
      <c r="BT37" s="7">
        <v>66</v>
      </c>
      <c r="BU37" s="8">
        <v>302.85000000000002</v>
      </c>
      <c r="BV37" s="24">
        <f>10</f>
        <v>10</v>
      </c>
      <c r="BW37" s="25">
        <v>12</v>
      </c>
      <c r="BX37" s="7">
        <v>103.2</v>
      </c>
      <c r="BY37" s="22">
        <v>2016</v>
      </c>
      <c r="BZ37" s="22" t="s">
        <v>9</v>
      </c>
      <c r="CA37" s="22" t="s">
        <v>10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165409-1F2F-4A0A-A5D6-F737FCAEF447}">
  <dimension ref="A1:CA37"/>
  <sheetViews>
    <sheetView tabSelected="1" zoomScale="76" workbookViewId="0">
      <pane xSplit="3" topLeftCell="BL1" activePane="topRight" state="frozen"/>
      <selection pane="topRight" activeCell="BP12" sqref="BP12"/>
    </sheetView>
  </sheetViews>
  <sheetFormatPr defaultRowHeight="14.5" x14ac:dyDescent="0.35"/>
  <cols>
    <col min="1" max="2" width="8.7265625" style="43"/>
    <col min="3" max="3" width="20.90625" style="43" bestFit="1" customWidth="1"/>
    <col min="4" max="4" width="8.7265625" style="43"/>
    <col min="5" max="6" width="8.7265625" style="44"/>
    <col min="7" max="8" width="8.7265625" style="43"/>
    <col min="9" max="17" width="8.7265625" style="44"/>
    <col min="18" max="19" width="8.7265625" style="43"/>
    <col min="20" max="20" width="8.7265625" style="44"/>
    <col min="21" max="22" width="8.7265625" style="43"/>
    <col min="23" max="31" width="8.7265625" style="44"/>
    <col min="32" max="33" width="8.7265625" style="43"/>
    <col min="34" max="34" width="16" style="44" bestFit="1" customWidth="1"/>
    <col min="35" max="36" width="8.7265625" style="43"/>
    <col min="37" max="45" width="8.7265625" style="44"/>
    <col min="46" max="47" width="8.7265625" style="43"/>
    <col min="48" max="48" width="16" style="44" bestFit="1" customWidth="1"/>
    <col min="49" max="50" width="8.7265625" style="43"/>
    <col min="51" max="59" width="8.7265625" style="44"/>
    <col min="60" max="61" width="8.7265625" style="43"/>
    <col min="62" max="62" width="8.7265625" style="44"/>
    <col min="63" max="63" width="10.7265625" style="43" bestFit="1" customWidth="1"/>
    <col min="64" max="64" width="8.7265625" style="43"/>
    <col min="65" max="73" width="8.7265625" style="44"/>
    <col min="74" max="75" width="8.7265625" style="43"/>
    <col min="76" max="76" width="8.7265625" style="44"/>
    <col min="77" max="79" width="8.7265625" style="43"/>
    <col min="80" max="16384" width="8.7265625" style="45"/>
  </cols>
  <sheetData>
    <row r="1" spans="1:79" x14ac:dyDescent="0.35">
      <c r="A1" s="43" t="s">
        <v>233</v>
      </c>
      <c r="B1" s="43" t="s">
        <v>131</v>
      </c>
      <c r="C1" s="43" t="s">
        <v>92</v>
      </c>
      <c r="D1" s="43" t="s">
        <v>93</v>
      </c>
      <c r="E1" s="44" t="s">
        <v>94</v>
      </c>
      <c r="F1" s="44" t="s">
        <v>95</v>
      </c>
      <c r="G1" s="23" t="s">
        <v>97</v>
      </c>
      <c r="H1" s="43" t="s">
        <v>104</v>
      </c>
      <c r="I1" s="44" t="s">
        <v>57</v>
      </c>
      <c r="J1" s="44" t="s">
        <v>58</v>
      </c>
      <c r="K1" s="44" t="s">
        <v>59</v>
      </c>
      <c r="L1" s="44" t="s">
        <v>60</v>
      </c>
      <c r="M1" s="44" t="s">
        <v>61</v>
      </c>
      <c r="N1" s="44" t="s">
        <v>62</v>
      </c>
      <c r="O1" s="44" t="s">
        <v>63</v>
      </c>
      <c r="P1" s="44" t="s">
        <v>96</v>
      </c>
      <c r="Q1" s="44" t="s">
        <v>98</v>
      </c>
      <c r="R1" s="43" t="s">
        <v>99</v>
      </c>
      <c r="S1" s="43" t="s">
        <v>100</v>
      </c>
      <c r="T1" s="44" t="s">
        <v>101</v>
      </c>
      <c r="U1" s="23" t="s">
        <v>102</v>
      </c>
      <c r="V1" s="43" t="s">
        <v>103</v>
      </c>
      <c r="W1" s="44" t="s">
        <v>64</v>
      </c>
      <c r="X1" s="44" t="s">
        <v>65</v>
      </c>
      <c r="Y1" s="44" t="s">
        <v>66</v>
      </c>
      <c r="Z1" s="44" t="s">
        <v>67</v>
      </c>
      <c r="AA1" s="44" t="s">
        <v>68</v>
      </c>
      <c r="AB1" s="44" t="s">
        <v>69</v>
      </c>
      <c r="AC1" s="44" t="s">
        <v>70</v>
      </c>
      <c r="AD1" s="44" t="s">
        <v>105</v>
      </c>
      <c r="AE1" s="44" t="s">
        <v>106</v>
      </c>
      <c r="AF1" s="43" t="s">
        <v>107</v>
      </c>
      <c r="AG1" s="43" t="s">
        <v>108</v>
      </c>
      <c r="AH1" s="44" t="s">
        <v>109</v>
      </c>
      <c r="AI1" s="23" t="s">
        <v>110</v>
      </c>
      <c r="AJ1" s="43" t="s">
        <v>123</v>
      </c>
      <c r="AK1" s="44" t="s">
        <v>71</v>
      </c>
      <c r="AL1" s="44" t="s">
        <v>72</v>
      </c>
      <c r="AM1" s="44" t="s">
        <v>73</v>
      </c>
      <c r="AN1" s="44" t="s">
        <v>74</v>
      </c>
      <c r="AO1" s="44" t="s">
        <v>75</v>
      </c>
      <c r="AP1" s="44" t="s">
        <v>76</v>
      </c>
      <c r="AQ1" s="44" t="s">
        <v>77</v>
      </c>
      <c r="AR1" s="44" t="s">
        <v>111</v>
      </c>
      <c r="AS1" s="44" t="s">
        <v>112</v>
      </c>
      <c r="AT1" s="43" t="s">
        <v>113</v>
      </c>
      <c r="AU1" s="43" t="s">
        <v>114</v>
      </c>
      <c r="AV1" s="44" t="s">
        <v>115</v>
      </c>
      <c r="AW1" s="23" t="s">
        <v>116</v>
      </c>
      <c r="AX1" s="43" t="s">
        <v>124</v>
      </c>
      <c r="AY1" s="44" t="s">
        <v>78</v>
      </c>
      <c r="AZ1" s="44" t="s">
        <v>79</v>
      </c>
      <c r="BA1" s="44" t="s">
        <v>80</v>
      </c>
      <c r="BB1" s="44" t="s">
        <v>81</v>
      </c>
      <c r="BC1" s="44" t="s">
        <v>82</v>
      </c>
      <c r="BD1" s="44" t="s">
        <v>83</v>
      </c>
      <c r="BE1" s="44" t="s">
        <v>84</v>
      </c>
      <c r="BF1" s="44" t="s">
        <v>117</v>
      </c>
      <c r="BG1" s="44" t="s">
        <v>118</v>
      </c>
      <c r="BH1" s="43" t="s">
        <v>119</v>
      </c>
      <c r="BI1" s="43" t="s">
        <v>120</v>
      </c>
      <c r="BJ1" s="44" t="s">
        <v>121</v>
      </c>
      <c r="BK1" s="23" t="s">
        <v>122</v>
      </c>
      <c r="BL1" s="43" t="s">
        <v>125</v>
      </c>
      <c r="BM1" s="44" t="s">
        <v>85</v>
      </c>
      <c r="BN1" s="44" t="s">
        <v>86</v>
      </c>
      <c r="BO1" s="44" t="s">
        <v>87</v>
      </c>
      <c r="BP1" s="44" t="s">
        <v>88</v>
      </c>
      <c r="BQ1" s="44" t="s">
        <v>89</v>
      </c>
      <c r="BR1" s="44" t="s">
        <v>90</v>
      </c>
      <c r="BS1" s="44" t="s">
        <v>91</v>
      </c>
      <c r="BT1" s="44" t="s">
        <v>126</v>
      </c>
      <c r="BU1" s="44" t="s">
        <v>127</v>
      </c>
      <c r="BV1" s="43" t="s">
        <v>128</v>
      </c>
      <c r="BW1" s="43" t="s">
        <v>129</v>
      </c>
      <c r="BX1" s="44" t="s">
        <v>130</v>
      </c>
      <c r="BY1" s="43" t="s">
        <v>0</v>
      </c>
      <c r="BZ1" s="43" t="s">
        <v>1</v>
      </c>
      <c r="CA1" s="43" t="s">
        <v>2</v>
      </c>
    </row>
    <row r="2" spans="1:79" x14ac:dyDescent="0.35">
      <c r="A2" s="23">
        <v>1</v>
      </c>
      <c r="B2" s="23" t="s">
        <v>3</v>
      </c>
      <c r="C2" s="23" t="s">
        <v>136</v>
      </c>
      <c r="D2" s="43">
        <v>17</v>
      </c>
      <c r="E2" s="44">
        <v>425.6</v>
      </c>
      <c r="F2" s="9">
        <v>0</v>
      </c>
      <c r="G2" s="27" t="s">
        <v>7</v>
      </c>
      <c r="H2" s="27">
        <v>3</v>
      </c>
      <c r="I2" s="11">
        <v>10</v>
      </c>
      <c r="J2" s="11">
        <v>10</v>
      </c>
      <c r="K2" s="11">
        <v>10</v>
      </c>
      <c r="L2" s="11">
        <v>10</v>
      </c>
      <c r="M2" s="11">
        <v>10</v>
      </c>
      <c r="N2" s="11">
        <v>10</v>
      </c>
      <c r="O2" s="11">
        <v>10</v>
      </c>
      <c r="P2" s="12">
        <v>90</v>
      </c>
      <c r="Q2" s="11">
        <v>90</v>
      </c>
      <c r="R2" s="28">
        <v>1</v>
      </c>
      <c r="S2" s="29">
        <v>1</v>
      </c>
      <c r="T2" s="12">
        <v>0</v>
      </c>
      <c r="U2" s="27" t="s">
        <v>137</v>
      </c>
      <c r="V2" s="27">
        <v>3.2</v>
      </c>
      <c r="W2" s="12">
        <v>8.5</v>
      </c>
      <c r="X2" s="12">
        <v>9</v>
      </c>
      <c r="Y2" s="12">
        <v>8.5</v>
      </c>
      <c r="Z2" s="12">
        <v>9</v>
      </c>
      <c r="AA2" s="12">
        <v>9</v>
      </c>
      <c r="AB2" s="12">
        <v>8.5</v>
      </c>
      <c r="AC2" s="12">
        <v>9</v>
      </c>
      <c r="AD2" s="12">
        <v>84.8</v>
      </c>
      <c r="AE2" s="11">
        <v>174.8</v>
      </c>
      <c r="AF2" s="28">
        <v>1</v>
      </c>
      <c r="AG2" s="29">
        <v>1</v>
      </c>
      <c r="AH2" s="44">
        <v>0</v>
      </c>
      <c r="AI2" s="27" t="s">
        <v>138</v>
      </c>
      <c r="AJ2" s="27">
        <v>3.2</v>
      </c>
      <c r="AK2" s="12">
        <v>8</v>
      </c>
      <c r="AL2" s="12">
        <v>8</v>
      </c>
      <c r="AM2" s="12">
        <v>8</v>
      </c>
      <c r="AN2" s="12">
        <v>8</v>
      </c>
      <c r="AO2" s="12">
        <v>8</v>
      </c>
      <c r="AP2" s="12">
        <v>8</v>
      </c>
      <c r="AQ2" s="12">
        <v>8</v>
      </c>
      <c r="AR2" s="12">
        <v>76.8</v>
      </c>
      <c r="AS2" s="11">
        <v>251.6</v>
      </c>
      <c r="AT2" s="28">
        <f>2</f>
        <v>2</v>
      </c>
      <c r="AU2" s="29">
        <v>1</v>
      </c>
      <c r="AV2" s="44">
        <v>0</v>
      </c>
      <c r="AW2" s="27" t="s">
        <v>139</v>
      </c>
      <c r="AX2" s="27">
        <v>3.3</v>
      </c>
      <c r="AY2" s="12">
        <v>9</v>
      </c>
      <c r="AZ2" s="12">
        <v>9</v>
      </c>
      <c r="BA2" s="12">
        <v>9.5</v>
      </c>
      <c r="BB2" s="12">
        <v>9</v>
      </c>
      <c r="BC2" s="12">
        <v>9.5</v>
      </c>
      <c r="BD2" s="12">
        <v>9.5</v>
      </c>
      <c r="BE2" s="12">
        <v>9.5</v>
      </c>
      <c r="BF2" s="12">
        <v>92.4</v>
      </c>
      <c r="BG2" s="11">
        <v>344</v>
      </c>
      <c r="BH2" s="28">
        <v>1</v>
      </c>
      <c r="BI2" s="29">
        <v>1</v>
      </c>
      <c r="BJ2" s="44">
        <v>0</v>
      </c>
      <c r="BK2" s="27" t="s">
        <v>140</v>
      </c>
      <c r="BL2" s="27">
        <v>3.2</v>
      </c>
      <c r="BM2" s="12">
        <v>8.5</v>
      </c>
      <c r="BN2" s="12">
        <v>8.5</v>
      </c>
      <c r="BO2" s="12">
        <v>9</v>
      </c>
      <c r="BP2" s="12">
        <v>8.5</v>
      </c>
      <c r="BQ2" s="12">
        <v>8.5</v>
      </c>
      <c r="BR2" s="12">
        <v>8.5</v>
      </c>
      <c r="BS2" s="12">
        <v>8.5</v>
      </c>
      <c r="BT2" s="12">
        <v>81.599999999999994</v>
      </c>
      <c r="BU2" s="11">
        <v>425.6</v>
      </c>
      <c r="BV2" s="28">
        <f>1</f>
        <v>1</v>
      </c>
      <c r="BW2" s="29">
        <v>1</v>
      </c>
      <c r="BX2" s="44">
        <v>0</v>
      </c>
      <c r="BY2" s="43">
        <v>2024</v>
      </c>
      <c r="BZ2" s="43" t="s">
        <v>9</v>
      </c>
      <c r="CA2" s="43" t="s">
        <v>141</v>
      </c>
    </row>
    <row r="3" spans="1:79" x14ac:dyDescent="0.35">
      <c r="A3" s="43">
        <v>2</v>
      </c>
      <c r="B3" s="43" t="s">
        <v>3</v>
      </c>
      <c r="C3" s="43" t="s">
        <v>142</v>
      </c>
      <c r="D3" s="43">
        <v>18</v>
      </c>
      <c r="E3" s="44">
        <v>420.7</v>
      </c>
      <c r="F3" s="44">
        <v>4.9000000000000004</v>
      </c>
      <c r="G3" s="27" t="s">
        <v>7</v>
      </c>
      <c r="H3" s="27">
        <v>3</v>
      </c>
      <c r="I3" s="12">
        <v>9.5</v>
      </c>
      <c r="J3" s="12">
        <v>9.5</v>
      </c>
      <c r="K3" s="12">
        <v>9</v>
      </c>
      <c r="L3" s="12">
        <v>9.5</v>
      </c>
      <c r="M3" s="12">
        <v>9</v>
      </c>
      <c r="N3" s="12">
        <v>9</v>
      </c>
      <c r="O3" s="12">
        <v>9</v>
      </c>
      <c r="P3" s="12">
        <v>82.5</v>
      </c>
      <c r="Q3" s="11">
        <v>82.5</v>
      </c>
      <c r="R3" s="28">
        <v>2</v>
      </c>
      <c r="S3" s="29">
        <v>2</v>
      </c>
      <c r="T3" s="12">
        <v>7.5</v>
      </c>
      <c r="U3" s="27" t="s">
        <v>137</v>
      </c>
      <c r="V3" s="27">
        <v>3.2</v>
      </c>
      <c r="W3" s="12">
        <v>8.5</v>
      </c>
      <c r="X3" s="12">
        <v>8.5</v>
      </c>
      <c r="Y3" s="12">
        <v>8.5</v>
      </c>
      <c r="Z3" s="12">
        <v>8</v>
      </c>
      <c r="AA3" s="12">
        <v>8</v>
      </c>
      <c r="AB3" s="12">
        <v>8</v>
      </c>
      <c r="AC3" s="12">
        <v>8</v>
      </c>
      <c r="AD3" s="12">
        <v>78.400000000000006</v>
      </c>
      <c r="AE3" s="11">
        <v>160.9</v>
      </c>
      <c r="AF3" s="28">
        <v>3</v>
      </c>
      <c r="AG3" s="29">
        <v>2</v>
      </c>
      <c r="AH3" s="12">
        <v>13.9</v>
      </c>
      <c r="AI3" s="27" t="s">
        <v>143</v>
      </c>
      <c r="AJ3" s="27">
        <v>3.3</v>
      </c>
      <c r="AK3" s="12">
        <v>9</v>
      </c>
      <c r="AL3" s="12">
        <v>9</v>
      </c>
      <c r="AM3" s="12">
        <v>9</v>
      </c>
      <c r="AN3" s="12">
        <v>9.5</v>
      </c>
      <c r="AO3" s="12">
        <v>9</v>
      </c>
      <c r="AP3" s="12">
        <v>8.5</v>
      </c>
      <c r="AQ3" s="12">
        <v>9</v>
      </c>
      <c r="AR3" s="12">
        <v>89.1</v>
      </c>
      <c r="AS3" s="11">
        <v>250</v>
      </c>
      <c r="AT3" s="28">
        <v>1</v>
      </c>
      <c r="AU3" s="29">
        <v>2</v>
      </c>
      <c r="AV3" s="12">
        <v>1.6</v>
      </c>
      <c r="AW3" s="27" t="s">
        <v>139</v>
      </c>
      <c r="AX3" s="27">
        <v>3.3</v>
      </c>
      <c r="AY3" s="12">
        <v>9</v>
      </c>
      <c r="AZ3" s="12">
        <v>9.5</v>
      </c>
      <c r="BA3" s="12">
        <v>9</v>
      </c>
      <c r="BB3" s="12">
        <v>8.5</v>
      </c>
      <c r="BC3" s="12">
        <v>9</v>
      </c>
      <c r="BD3" s="12">
        <v>8.5</v>
      </c>
      <c r="BE3" s="12">
        <v>9</v>
      </c>
      <c r="BF3" s="12">
        <v>89.1</v>
      </c>
      <c r="BG3" s="11">
        <v>339.1</v>
      </c>
      <c r="BH3" s="28">
        <v>2</v>
      </c>
      <c r="BI3" s="29">
        <v>2</v>
      </c>
      <c r="BJ3" s="12">
        <v>4.9000000000000004</v>
      </c>
      <c r="BK3" s="27" t="s">
        <v>140</v>
      </c>
      <c r="BL3" s="27">
        <v>3.2</v>
      </c>
      <c r="BM3" s="12">
        <v>9</v>
      </c>
      <c r="BN3" s="12">
        <v>8.5</v>
      </c>
      <c r="BO3" s="12">
        <v>8.5</v>
      </c>
      <c r="BP3" s="12">
        <v>8.5</v>
      </c>
      <c r="BQ3" s="12">
        <v>9</v>
      </c>
      <c r="BR3" s="12">
        <v>8.5</v>
      </c>
      <c r="BS3" s="12">
        <v>8.5</v>
      </c>
      <c r="BT3" s="12">
        <v>81.599999999999994</v>
      </c>
      <c r="BU3" s="11">
        <v>420.7</v>
      </c>
      <c r="BV3" s="28">
        <f>1</f>
        <v>1</v>
      </c>
      <c r="BW3" s="29">
        <v>2</v>
      </c>
      <c r="BX3" s="12">
        <v>4.9000000000000004</v>
      </c>
      <c r="BY3" s="43">
        <v>2024</v>
      </c>
      <c r="BZ3" s="43" t="s">
        <v>9</v>
      </c>
      <c r="CA3" s="43" t="s">
        <v>141</v>
      </c>
    </row>
    <row r="4" spans="1:79" x14ac:dyDescent="0.35">
      <c r="A4" s="43">
        <v>3</v>
      </c>
      <c r="B4" s="43" t="s">
        <v>144</v>
      </c>
      <c r="C4" s="43" t="s">
        <v>170</v>
      </c>
      <c r="D4" s="43">
        <v>23</v>
      </c>
      <c r="E4" s="44">
        <v>372.1</v>
      </c>
      <c r="F4" s="44">
        <v>53.5</v>
      </c>
      <c r="G4" s="27" t="s">
        <v>138</v>
      </c>
      <c r="H4" s="27">
        <v>3.2</v>
      </c>
      <c r="I4" s="12">
        <v>8.5</v>
      </c>
      <c r="J4" s="12">
        <v>8.5</v>
      </c>
      <c r="K4" s="12">
        <v>8</v>
      </c>
      <c r="L4" s="12">
        <v>8.5</v>
      </c>
      <c r="M4" s="12">
        <v>8.5</v>
      </c>
      <c r="N4" s="12">
        <v>8</v>
      </c>
      <c r="O4" s="12">
        <v>8</v>
      </c>
      <c r="P4" s="12">
        <v>80</v>
      </c>
      <c r="Q4" s="11">
        <v>80</v>
      </c>
      <c r="R4" s="28">
        <v>3</v>
      </c>
      <c r="S4" s="29">
        <v>3</v>
      </c>
      <c r="T4" s="12">
        <v>10</v>
      </c>
      <c r="U4" s="27" t="s">
        <v>7</v>
      </c>
      <c r="V4" s="27">
        <v>3</v>
      </c>
      <c r="W4" s="12">
        <v>7.5</v>
      </c>
      <c r="X4" s="12">
        <v>7.5</v>
      </c>
      <c r="Y4" s="12">
        <v>7.5</v>
      </c>
      <c r="Z4" s="12">
        <v>7.5</v>
      </c>
      <c r="AA4" s="12">
        <v>7.5</v>
      </c>
      <c r="AB4" s="12">
        <v>7.5</v>
      </c>
      <c r="AC4" s="12">
        <v>7.5</v>
      </c>
      <c r="AD4" s="12">
        <v>67.5</v>
      </c>
      <c r="AE4" s="11">
        <v>147.5</v>
      </c>
      <c r="AF4" s="28">
        <v>5</v>
      </c>
      <c r="AG4" s="29">
        <v>3</v>
      </c>
      <c r="AH4" s="12">
        <v>27.3</v>
      </c>
      <c r="AI4" s="27" t="s">
        <v>139</v>
      </c>
      <c r="AJ4" s="27">
        <v>3.3</v>
      </c>
      <c r="AK4" s="12">
        <v>8</v>
      </c>
      <c r="AL4" s="12">
        <v>7.5</v>
      </c>
      <c r="AM4" s="12">
        <v>7</v>
      </c>
      <c r="AN4" s="12">
        <v>8</v>
      </c>
      <c r="AO4" s="12">
        <v>7.5</v>
      </c>
      <c r="AP4" s="12">
        <v>6.5</v>
      </c>
      <c r="AQ4" s="12">
        <v>7</v>
      </c>
      <c r="AR4" s="12">
        <v>72.599999999999994</v>
      </c>
      <c r="AS4" s="11">
        <v>220.1</v>
      </c>
      <c r="AT4" s="28">
        <v>4</v>
      </c>
      <c r="AU4" s="29">
        <v>3</v>
      </c>
      <c r="AV4" s="12">
        <v>31.5</v>
      </c>
      <c r="AW4" s="27" t="s">
        <v>137</v>
      </c>
      <c r="AX4" s="27">
        <v>3.2</v>
      </c>
      <c r="AY4" s="12">
        <v>8.5</v>
      </c>
      <c r="AZ4" s="12">
        <v>8</v>
      </c>
      <c r="BA4" s="12">
        <v>7.5</v>
      </c>
      <c r="BB4" s="12">
        <v>8</v>
      </c>
      <c r="BC4" s="12">
        <v>7.5</v>
      </c>
      <c r="BD4" s="12">
        <v>8</v>
      </c>
      <c r="BE4" s="12">
        <v>8</v>
      </c>
      <c r="BF4" s="12">
        <v>76.8</v>
      </c>
      <c r="BG4" s="11">
        <v>296.89999999999998</v>
      </c>
      <c r="BH4" s="28">
        <v>3</v>
      </c>
      <c r="BI4" s="29">
        <v>3</v>
      </c>
      <c r="BJ4" s="12">
        <v>47.1</v>
      </c>
      <c r="BK4" s="27" t="s">
        <v>140</v>
      </c>
      <c r="BL4" s="27">
        <v>3.2</v>
      </c>
      <c r="BM4" s="12">
        <v>7.5</v>
      </c>
      <c r="BN4" s="12">
        <v>8</v>
      </c>
      <c r="BO4" s="12">
        <v>8</v>
      </c>
      <c r="BP4" s="12">
        <v>8.5</v>
      </c>
      <c r="BQ4" s="12">
        <v>8</v>
      </c>
      <c r="BR4" s="12">
        <v>7.5</v>
      </c>
      <c r="BS4" s="12">
        <v>7.5</v>
      </c>
      <c r="BT4" s="12">
        <v>75.2</v>
      </c>
      <c r="BU4" s="11">
        <v>372.1</v>
      </c>
      <c r="BV4" s="28">
        <v>5</v>
      </c>
      <c r="BW4" s="29">
        <v>3</v>
      </c>
      <c r="BX4" s="12">
        <v>53.5</v>
      </c>
      <c r="BY4" s="43">
        <v>2024</v>
      </c>
      <c r="BZ4" s="43" t="s">
        <v>9</v>
      </c>
      <c r="CA4" s="43" t="s">
        <v>141</v>
      </c>
    </row>
    <row r="5" spans="1:79" x14ac:dyDescent="0.35">
      <c r="A5" s="43">
        <v>4</v>
      </c>
      <c r="B5" s="43" t="s">
        <v>40</v>
      </c>
      <c r="C5" s="43" t="s">
        <v>145</v>
      </c>
      <c r="D5" s="43">
        <v>25</v>
      </c>
      <c r="E5" s="44">
        <v>364.5</v>
      </c>
      <c r="F5" s="44">
        <v>61.1</v>
      </c>
      <c r="G5" s="27" t="s">
        <v>7</v>
      </c>
      <c r="H5" s="27">
        <v>3</v>
      </c>
      <c r="I5" s="12">
        <v>8</v>
      </c>
      <c r="J5" s="12">
        <v>8</v>
      </c>
      <c r="K5" s="12">
        <v>7</v>
      </c>
      <c r="L5" s="12">
        <v>8</v>
      </c>
      <c r="M5" s="12">
        <v>8</v>
      </c>
      <c r="N5" s="12">
        <v>8</v>
      </c>
      <c r="O5" s="12">
        <v>8</v>
      </c>
      <c r="P5" s="12">
        <v>72</v>
      </c>
      <c r="Q5" s="11">
        <v>72</v>
      </c>
      <c r="R5" s="28">
        <f>5</f>
        <v>5</v>
      </c>
      <c r="S5" s="29">
        <f>5</f>
        <v>5</v>
      </c>
      <c r="T5" s="12">
        <v>18</v>
      </c>
      <c r="U5" s="27" t="s">
        <v>23</v>
      </c>
      <c r="V5" s="27">
        <v>2.8</v>
      </c>
      <c r="W5" s="12">
        <v>8</v>
      </c>
      <c r="X5" s="12">
        <v>7.5</v>
      </c>
      <c r="Y5" s="12">
        <v>7.5</v>
      </c>
      <c r="Z5" s="12">
        <v>7.5</v>
      </c>
      <c r="AA5" s="12">
        <v>7.5</v>
      </c>
      <c r="AB5" s="12">
        <v>7.5</v>
      </c>
      <c r="AC5" s="12">
        <v>7.5</v>
      </c>
      <c r="AD5" s="12">
        <v>63</v>
      </c>
      <c r="AE5" s="11">
        <v>135</v>
      </c>
      <c r="AF5" s="28">
        <v>10</v>
      </c>
      <c r="AG5" s="29">
        <v>8</v>
      </c>
      <c r="AH5" s="12">
        <v>39.799999999999997</v>
      </c>
      <c r="AI5" s="27" t="s">
        <v>137</v>
      </c>
      <c r="AJ5" s="27">
        <v>3.2</v>
      </c>
      <c r="AK5" s="12">
        <v>8</v>
      </c>
      <c r="AL5" s="12">
        <v>8</v>
      </c>
      <c r="AM5" s="12">
        <v>8.5</v>
      </c>
      <c r="AN5" s="12">
        <v>8</v>
      </c>
      <c r="AO5" s="12">
        <v>8</v>
      </c>
      <c r="AP5" s="12">
        <v>8</v>
      </c>
      <c r="AQ5" s="12">
        <v>8</v>
      </c>
      <c r="AR5" s="12">
        <v>76.8</v>
      </c>
      <c r="AS5" s="11">
        <v>211.8</v>
      </c>
      <c r="AT5" s="28">
        <f>2</f>
        <v>2</v>
      </c>
      <c r="AU5" s="29">
        <v>4</v>
      </c>
      <c r="AV5" s="12">
        <v>39.799999999999997</v>
      </c>
      <c r="AW5" s="27" t="s">
        <v>139</v>
      </c>
      <c r="AX5" s="27">
        <v>3.3</v>
      </c>
      <c r="AY5" s="12">
        <v>7.5</v>
      </c>
      <c r="AZ5" s="12">
        <v>8</v>
      </c>
      <c r="BA5" s="12">
        <v>7.5</v>
      </c>
      <c r="BB5" s="12">
        <v>7.5</v>
      </c>
      <c r="BC5" s="12">
        <v>7.5</v>
      </c>
      <c r="BD5" s="12">
        <v>8</v>
      </c>
      <c r="BE5" s="12">
        <v>8</v>
      </c>
      <c r="BF5" s="12">
        <v>75.900000000000006</v>
      </c>
      <c r="BG5" s="11">
        <v>287.7</v>
      </c>
      <c r="BH5" s="28">
        <v>4</v>
      </c>
      <c r="BI5" s="29">
        <v>4</v>
      </c>
      <c r="BJ5" s="12">
        <v>56.3</v>
      </c>
      <c r="BK5" s="27" t="s">
        <v>140</v>
      </c>
      <c r="BL5" s="27">
        <v>3.2</v>
      </c>
      <c r="BM5" s="12">
        <v>8</v>
      </c>
      <c r="BN5" s="12">
        <v>8</v>
      </c>
      <c r="BO5" s="12">
        <v>8</v>
      </c>
      <c r="BP5" s="12">
        <v>8.5</v>
      </c>
      <c r="BQ5" s="12">
        <v>7.5</v>
      </c>
      <c r="BR5" s="12">
        <v>8</v>
      </c>
      <c r="BS5" s="12">
        <v>8</v>
      </c>
      <c r="BT5" s="12">
        <v>76.8</v>
      </c>
      <c r="BU5" s="11">
        <v>364.5</v>
      </c>
      <c r="BV5" s="28">
        <v>4</v>
      </c>
      <c r="BW5" s="29">
        <v>4</v>
      </c>
      <c r="BX5" s="12">
        <v>61.1</v>
      </c>
      <c r="BY5" s="43">
        <v>2024</v>
      </c>
      <c r="BZ5" s="43" t="s">
        <v>9</v>
      </c>
      <c r="CA5" s="43" t="s">
        <v>141</v>
      </c>
    </row>
    <row r="6" spans="1:79" x14ac:dyDescent="0.35">
      <c r="A6" s="43">
        <v>5</v>
      </c>
      <c r="B6" s="43" t="s">
        <v>18</v>
      </c>
      <c r="C6" s="43" t="s">
        <v>146</v>
      </c>
      <c r="D6" s="43">
        <v>24</v>
      </c>
      <c r="E6" s="44">
        <v>350.4</v>
      </c>
      <c r="F6" s="44">
        <v>75.2</v>
      </c>
      <c r="G6" s="27" t="s">
        <v>7</v>
      </c>
      <c r="H6" s="27">
        <v>3</v>
      </c>
      <c r="I6" s="12">
        <v>7.5</v>
      </c>
      <c r="J6" s="12">
        <v>7.5</v>
      </c>
      <c r="K6" s="12">
        <v>7.5</v>
      </c>
      <c r="L6" s="12">
        <v>7.5</v>
      </c>
      <c r="M6" s="12">
        <v>7.5</v>
      </c>
      <c r="N6" s="12">
        <v>8</v>
      </c>
      <c r="O6" s="12">
        <v>7.5</v>
      </c>
      <c r="P6" s="12">
        <v>67.5</v>
      </c>
      <c r="Q6" s="11">
        <v>67.5</v>
      </c>
      <c r="R6" s="28">
        <v>7</v>
      </c>
      <c r="S6" s="29">
        <v>7</v>
      </c>
      <c r="T6" s="12">
        <v>22.5</v>
      </c>
      <c r="U6" s="27" t="s">
        <v>139</v>
      </c>
      <c r="V6" s="27">
        <v>3.3</v>
      </c>
      <c r="W6" s="12">
        <v>8.5</v>
      </c>
      <c r="X6" s="12">
        <v>8</v>
      </c>
      <c r="Y6" s="12">
        <v>8</v>
      </c>
      <c r="Z6" s="12">
        <v>8.5</v>
      </c>
      <c r="AA6" s="12">
        <v>8</v>
      </c>
      <c r="AB6" s="12">
        <v>8</v>
      </c>
      <c r="AC6" s="12">
        <v>8</v>
      </c>
      <c r="AD6" s="12">
        <v>79.2</v>
      </c>
      <c r="AE6" s="11">
        <v>146.69999999999999</v>
      </c>
      <c r="AF6" s="28">
        <v>2</v>
      </c>
      <c r="AG6" s="29">
        <v>4</v>
      </c>
      <c r="AH6" s="12">
        <v>28.1</v>
      </c>
      <c r="AI6" s="27" t="s">
        <v>137</v>
      </c>
      <c r="AJ6" s="27">
        <v>3.2</v>
      </c>
      <c r="AK6" s="12">
        <v>6</v>
      </c>
      <c r="AL6" s="12">
        <v>7</v>
      </c>
      <c r="AM6" s="12">
        <v>6.5</v>
      </c>
      <c r="AN6" s="12">
        <v>7</v>
      </c>
      <c r="AO6" s="12">
        <v>6.5</v>
      </c>
      <c r="AP6" s="12">
        <v>6.5</v>
      </c>
      <c r="AQ6" s="12">
        <v>6</v>
      </c>
      <c r="AR6" s="12">
        <v>62.4</v>
      </c>
      <c r="AS6" s="11">
        <v>209.1</v>
      </c>
      <c r="AT6" s="28">
        <v>9</v>
      </c>
      <c r="AU6" s="29">
        <v>5</v>
      </c>
      <c r="AV6" s="12">
        <v>42.5</v>
      </c>
      <c r="AW6" s="27" t="s">
        <v>143</v>
      </c>
      <c r="AX6" s="27">
        <v>3.3</v>
      </c>
      <c r="AY6" s="12">
        <v>6.5</v>
      </c>
      <c r="AZ6" s="12">
        <v>7</v>
      </c>
      <c r="BA6" s="12">
        <v>7</v>
      </c>
      <c r="BB6" s="12">
        <v>7</v>
      </c>
      <c r="BC6" s="12">
        <v>7</v>
      </c>
      <c r="BD6" s="12">
        <v>7</v>
      </c>
      <c r="BE6" s="12">
        <v>7</v>
      </c>
      <c r="BF6" s="12">
        <v>69.3</v>
      </c>
      <c r="BG6" s="11">
        <v>278.39999999999998</v>
      </c>
      <c r="BH6" s="28">
        <v>5</v>
      </c>
      <c r="BI6" s="29">
        <v>5</v>
      </c>
      <c r="BJ6" s="12">
        <v>65.599999999999994</v>
      </c>
      <c r="BK6" s="27" t="s">
        <v>140</v>
      </c>
      <c r="BL6" s="27">
        <v>3.2</v>
      </c>
      <c r="BM6" s="12">
        <v>7.5</v>
      </c>
      <c r="BN6" s="12">
        <v>7.5</v>
      </c>
      <c r="BO6" s="12">
        <v>7.5</v>
      </c>
      <c r="BP6" s="12">
        <v>7</v>
      </c>
      <c r="BQ6" s="12">
        <v>7.5</v>
      </c>
      <c r="BR6" s="12">
        <v>7.5</v>
      </c>
      <c r="BS6" s="12">
        <v>7.5</v>
      </c>
      <c r="BT6" s="12">
        <v>72</v>
      </c>
      <c r="BU6" s="11">
        <v>350.4</v>
      </c>
      <c r="BV6" s="28">
        <v>6</v>
      </c>
      <c r="BW6" s="29">
        <v>5</v>
      </c>
      <c r="BX6" s="12">
        <v>75.2</v>
      </c>
      <c r="BY6" s="43">
        <v>2024</v>
      </c>
      <c r="BZ6" s="43" t="s">
        <v>9</v>
      </c>
      <c r="CA6" s="43" t="s">
        <v>141</v>
      </c>
    </row>
    <row r="7" spans="1:79" x14ac:dyDescent="0.35">
      <c r="A7" s="46">
        <v>6</v>
      </c>
      <c r="B7" s="46" t="s">
        <v>17</v>
      </c>
      <c r="C7" s="46" t="s">
        <v>147</v>
      </c>
      <c r="D7" s="43">
        <v>19</v>
      </c>
      <c r="E7" s="44">
        <v>345.5</v>
      </c>
      <c r="F7" s="44">
        <v>80.099999999999994</v>
      </c>
      <c r="G7" s="27" t="s">
        <v>138</v>
      </c>
      <c r="H7" s="27">
        <v>3.2</v>
      </c>
      <c r="I7" s="12">
        <v>8</v>
      </c>
      <c r="J7" s="12">
        <v>8</v>
      </c>
      <c r="K7" s="12">
        <v>7.5</v>
      </c>
      <c r="L7" s="12">
        <v>8.5</v>
      </c>
      <c r="M7" s="12">
        <v>8</v>
      </c>
      <c r="N7" s="12">
        <v>8</v>
      </c>
      <c r="O7" s="12">
        <v>8</v>
      </c>
      <c r="P7" s="12">
        <v>76.8</v>
      </c>
      <c r="Q7" s="11">
        <v>76.8</v>
      </c>
      <c r="R7" s="28">
        <v>4</v>
      </c>
      <c r="S7" s="29">
        <v>4</v>
      </c>
      <c r="T7" s="12">
        <v>13.2</v>
      </c>
      <c r="U7" s="27" t="s">
        <v>137</v>
      </c>
      <c r="V7" s="27">
        <v>3.2</v>
      </c>
      <c r="W7" s="12">
        <v>6.5</v>
      </c>
      <c r="X7" s="12">
        <v>7.5</v>
      </c>
      <c r="Y7" s="12">
        <v>6.5</v>
      </c>
      <c r="Z7" s="12">
        <v>6</v>
      </c>
      <c r="AA7" s="12">
        <v>6.5</v>
      </c>
      <c r="AB7" s="12">
        <v>6</v>
      </c>
      <c r="AC7" s="12">
        <v>6.5</v>
      </c>
      <c r="AD7" s="12">
        <v>62.4</v>
      </c>
      <c r="AE7" s="11">
        <v>139.19999999999999</v>
      </c>
      <c r="AF7" s="28">
        <v>11</v>
      </c>
      <c r="AG7" s="29">
        <v>5</v>
      </c>
      <c r="AH7" s="12">
        <v>35.6</v>
      </c>
      <c r="AI7" s="27" t="s">
        <v>7</v>
      </c>
      <c r="AJ7" s="27">
        <v>3</v>
      </c>
      <c r="AK7" s="12">
        <v>7</v>
      </c>
      <c r="AL7" s="12">
        <v>7.5</v>
      </c>
      <c r="AM7" s="12">
        <v>7</v>
      </c>
      <c r="AN7" s="12">
        <v>7</v>
      </c>
      <c r="AO7" s="12">
        <v>7</v>
      </c>
      <c r="AP7" s="12">
        <v>7.5</v>
      </c>
      <c r="AQ7" s="12">
        <v>7.5</v>
      </c>
      <c r="AR7" s="12">
        <v>64.5</v>
      </c>
      <c r="AS7" s="11">
        <v>203.7</v>
      </c>
      <c r="AT7" s="28">
        <v>8</v>
      </c>
      <c r="AU7" s="29">
        <f>6</f>
        <v>6</v>
      </c>
      <c r="AV7" s="12">
        <v>47.9</v>
      </c>
      <c r="AW7" s="42" t="s">
        <v>23</v>
      </c>
      <c r="AX7" s="27" t="s">
        <v>329</v>
      </c>
      <c r="AY7" s="16">
        <v>7.5</v>
      </c>
      <c r="AZ7" s="16">
        <v>7</v>
      </c>
      <c r="BA7" s="16">
        <v>7.5</v>
      </c>
      <c r="BB7" s="16">
        <v>7</v>
      </c>
      <c r="BC7" s="16">
        <v>7.5</v>
      </c>
      <c r="BD7" s="16">
        <v>7</v>
      </c>
      <c r="BE7" s="12">
        <v>7</v>
      </c>
      <c r="BF7" s="12">
        <v>60.2</v>
      </c>
      <c r="BG7" s="11">
        <v>263.89999999999998</v>
      </c>
      <c r="BH7" s="28" t="s">
        <v>330</v>
      </c>
      <c r="BI7" s="29" t="s">
        <v>331</v>
      </c>
      <c r="BJ7" s="12">
        <v>80.099999999999994</v>
      </c>
      <c r="BK7" s="27" t="s">
        <v>140</v>
      </c>
      <c r="BL7" s="27">
        <v>3.2</v>
      </c>
      <c r="BM7" s="12">
        <v>8.5</v>
      </c>
      <c r="BN7" s="12">
        <v>8.5</v>
      </c>
      <c r="BO7" s="12">
        <v>8.5</v>
      </c>
      <c r="BP7" s="12">
        <v>8.5</v>
      </c>
      <c r="BQ7" s="12">
        <v>8.5</v>
      </c>
      <c r="BR7" s="12">
        <v>8.5</v>
      </c>
      <c r="BS7" s="12">
        <v>8.5</v>
      </c>
      <c r="BT7" s="12">
        <v>81.599999999999994</v>
      </c>
      <c r="BU7" s="11">
        <v>345.5</v>
      </c>
      <c r="BV7" s="28">
        <f>1</f>
        <v>1</v>
      </c>
      <c r="BW7" s="29">
        <v>6</v>
      </c>
      <c r="BX7" s="12">
        <v>80.099999999999994</v>
      </c>
      <c r="BY7" s="43">
        <v>2024</v>
      </c>
      <c r="BZ7" s="43" t="s">
        <v>9</v>
      </c>
      <c r="CA7" s="43" t="s">
        <v>141</v>
      </c>
    </row>
    <row r="8" spans="1:79" x14ac:dyDescent="0.35">
      <c r="A8" s="43">
        <v>7</v>
      </c>
      <c r="B8" s="43" t="s">
        <v>12</v>
      </c>
      <c r="C8" s="43" t="s">
        <v>148</v>
      </c>
      <c r="D8" s="43">
        <v>17</v>
      </c>
      <c r="E8" s="44">
        <v>333.3</v>
      </c>
      <c r="F8" s="44">
        <v>92.3</v>
      </c>
      <c r="G8" s="27" t="s">
        <v>7</v>
      </c>
      <c r="H8" s="27">
        <v>3</v>
      </c>
      <c r="I8" s="12">
        <v>7.5</v>
      </c>
      <c r="J8" s="12">
        <v>7</v>
      </c>
      <c r="K8" s="12">
        <v>7</v>
      </c>
      <c r="L8" s="12">
        <v>6.5</v>
      </c>
      <c r="M8" s="12">
        <v>7</v>
      </c>
      <c r="N8" s="12">
        <v>8</v>
      </c>
      <c r="O8" s="12">
        <v>7.5</v>
      </c>
      <c r="P8" s="12">
        <v>64.5</v>
      </c>
      <c r="Q8" s="11">
        <v>64.5</v>
      </c>
      <c r="R8" s="28">
        <v>8</v>
      </c>
      <c r="S8" s="29">
        <v>8</v>
      </c>
      <c r="T8" s="12">
        <v>25.5</v>
      </c>
      <c r="U8" s="27" t="s">
        <v>137</v>
      </c>
      <c r="V8" s="27">
        <v>3.2</v>
      </c>
      <c r="W8" s="12">
        <v>7.5</v>
      </c>
      <c r="X8" s="12">
        <v>7.5</v>
      </c>
      <c r="Y8" s="12">
        <v>7.5</v>
      </c>
      <c r="Z8" s="12">
        <v>7</v>
      </c>
      <c r="AA8" s="12">
        <v>7</v>
      </c>
      <c r="AB8" s="12">
        <v>7.5</v>
      </c>
      <c r="AC8" s="12">
        <v>7.5</v>
      </c>
      <c r="AD8" s="12">
        <v>72</v>
      </c>
      <c r="AE8" s="11">
        <v>136.5</v>
      </c>
      <c r="AF8" s="28">
        <v>4</v>
      </c>
      <c r="AG8" s="29">
        <f>6</f>
        <v>6</v>
      </c>
      <c r="AH8" s="12">
        <v>38.299999999999997</v>
      </c>
      <c r="AI8" s="27" t="s">
        <v>138</v>
      </c>
      <c r="AJ8" s="27">
        <v>3.2</v>
      </c>
      <c r="AK8" s="12">
        <v>6.5</v>
      </c>
      <c r="AL8" s="12">
        <v>7</v>
      </c>
      <c r="AM8" s="12">
        <v>7</v>
      </c>
      <c r="AN8" s="12">
        <v>7</v>
      </c>
      <c r="AO8" s="12">
        <v>7.5</v>
      </c>
      <c r="AP8" s="12">
        <v>7</v>
      </c>
      <c r="AQ8" s="12">
        <v>7</v>
      </c>
      <c r="AR8" s="12">
        <v>67.2</v>
      </c>
      <c r="AS8" s="11">
        <v>203.7</v>
      </c>
      <c r="AT8" s="28">
        <v>6</v>
      </c>
      <c r="AU8" s="29">
        <f>6</f>
        <v>6</v>
      </c>
      <c r="AV8" s="12">
        <v>47.9</v>
      </c>
      <c r="AW8" s="27" t="s">
        <v>23</v>
      </c>
      <c r="AX8" s="27">
        <v>2.8</v>
      </c>
      <c r="AY8" s="12">
        <v>8.5</v>
      </c>
      <c r="AZ8" s="12">
        <v>8.5</v>
      </c>
      <c r="BA8" s="12">
        <v>8</v>
      </c>
      <c r="BB8" s="12">
        <v>8</v>
      </c>
      <c r="BC8" s="12">
        <v>8</v>
      </c>
      <c r="BD8" s="12">
        <v>8</v>
      </c>
      <c r="BE8" s="12">
        <v>8</v>
      </c>
      <c r="BF8" s="12">
        <v>67.2</v>
      </c>
      <c r="BG8" s="11">
        <v>270.89999999999998</v>
      </c>
      <c r="BH8" s="28">
        <f>6</f>
        <v>6</v>
      </c>
      <c r="BI8" s="29">
        <v>6</v>
      </c>
      <c r="BJ8" s="12">
        <v>73.099999999999994</v>
      </c>
      <c r="BK8" s="27" t="s">
        <v>140</v>
      </c>
      <c r="BL8" s="27">
        <v>3.2</v>
      </c>
      <c r="BM8" s="12">
        <v>5.5</v>
      </c>
      <c r="BN8" s="12">
        <v>7</v>
      </c>
      <c r="BO8" s="12">
        <v>7</v>
      </c>
      <c r="BP8" s="12">
        <v>6.5</v>
      </c>
      <c r="BQ8" s="12">
        <v>6.5</v>
      </c>
      <c r="BR8" s="12">
        <v>6.5</v>
      </c>
      <c r="BS8" s="12">
        <v>6.5</v>
      </c>
      <c r="BT8" s="12">
        <v>62.4</v>
      </c>
      <c r="BU8" s="11">
        <v>333.3</v>
      </c>
      <c r="BV8" s="28">
        <f>8</f>
        <v>8</v>
      </c>
      <c r="BW8" s="29">
        <v>7</v>
      </c>
      <c r="BX8" s="12">
        <v>92.3</v>
      </c>
      <c r="BY8" s="43">
        <v>2024</v>
      </c>
      <c r="BZ8" s="43" t="s">
        <v>9</v>
      </c>
      <c r="CA8" s="43" t="s">
        <v>141</v>
      </c>
    </row>
    <row r="9" spans="1:79" x14ac:dyDescent="0.35">
      <c r="A9" s="43">
        <v>8</v>
      </c>
      <c r="B9" s="43" t="s">
        <v>18</v>
      </c>
      <c r="C9" s="43" t="s">
        <v>149</v>
      </c>
      <c r="D9" s="43">
        <v>27</v>
      </c>
      <c r="E9" s="44">
        <v>320.60000000000002</v>
      </c>
      <c r="F9" s="44">
        <v>105</v>
      </c>
      <c r="G9" s="27" t="s">
        <v>7</v>
      </c>
      <c r="H9" s="27">
        <v>3</v>
      </c>
      <c r="I9" s="12">
        <v>7</v>
      </c>
      <c r="J9" s="12">
        <v>7</v>
      </c>
      <c r="K9" s="12">
        <v>7</v>
      </c>
      <c r="L9" s="12">
        <v>7</v>
      </c>
      <c r="M9" s="12">
        <v>7</v>
      </c>
      <c r="N9" s="12">
        <v>7.5</v>
      </c>
      <c r="O9" s="12">
        <v>7.5</v>
      </c>
      <c r="P9" s="12">
        <v>63</v>
      </c>
      <c r="Q9" s="11">
        <v>63</v>
      </c>
      <c r="R9" s="28">
        <f>9</f>
        <v>9</v>
      </c>
      <c r="S9" s="29">
        <f>9</f>
        <v>9</v>
      </c>
      <c r="T9" s="12">
        <v>27</v>
      </c>
      <c r="U9" s="27" t="s">
        <v>138</v>
      </c>
      <c r="V9" s="27">
        <v>3.2</v>
      </c>
      <c r="W9" s="12">
        <v>6.5</v>
      </c>
      <c r="X9" s="12">
        <v>6.5</v>
      </c>
      <c r="Y9" s="12">
        <v>6.5</v>
      </c>
      <c r="Z9" s="12">
        <v>7</v>
      </c>
      <c r="AA9" s="12">
        <v>6</v>
      </c>
      <c r="AB9" s="12">
        <v>7</v>
      </c>
      <c r="AC9" s="12">
        <v>7</v>
      </c>
      <c r="AD9" s="12">
        <v>64</v>
      </c>
      <c r="AE9" s="11">
        <v>127</v>
      </c>
      <c r="AF9" s="28">
        <f>8</f>
        <v>8</v>
      </c>
      <c r="AG9" s="29">
        <v>10</v>
      </c>
      <c r="AH9" s="12">
        <v>47.8</v>
      </c>
      <c r="AI9" s="27" t="s">
        <v>137</v>
      </c>
      <c r="AJ9" s="27">
        <v>3.2</v>
      </c>
      <c r="AK9" s="12">
        <v>7</v>
      </c>
      <c r="AL9" s="12">
        <v>7</v>
      </c>
      <c r="AM9" s="12">
        <v>7.5</v>
      </c>
      <c r="AN9" s="12">
        <v>7.5</v>
      </c>
      <c r="AO9" s="12">
        <v>7</v>
      </c>
      <c r="AP9" s="12">
        <v>7.5</v>
      </c>
      <c r="AQ9" s="12">
        <v>7</v>
      </c>
      <c r="AR9" s="12">
        <v>68.8</v>
      </c>
      <c r="AS9" s="11">
        <v>195.8</v>
      </c>
      <c r="AT9" s="28">
        <v>5</v>
      </c>
      <c r="AU9" s="29">
        <v>8</v>
      </c>
      <c r="AV9" s="12">
        <v>55.8</v>
      </c>
      <c r="AW9" s="27" t="s">
        <v>23</v>
      </c>
      <c r="AX9" s="27">
        <v>2.8</v>
      </c>
      <c r="AY9" s="12">
        <v>8</v>
      </c>
      <c r="AZ9" s="12">
        <v>8</v>
      </c>
      <c r="BA9" s="12">
        <v>8</v>
      </c>
      <c r="BB9" s="12">
        <v>7</v>
      </c>
      <c r="BC9" s="12">
        <v>7.5</v>
      </c>
      <c r="BD9" s="12">
        <v>8</v>
      </c>
      <c r="BE9" s="12">
        <v>8</v>
      </c>
      <c r="BF9" s="12">
        <v>67.2</v>
      </c>
      <c r="BG9" s="11">
        <v>263</v>
      </c>
      <c r="BH9" s="28">
        <f>6</f>
        <v>6</v>
      </c>
      <c r="BI9" s="29">
        <v>8</v>
      </c>
      <c r="BJ9" s="12">
        <v>81</v>
      </c>
      <c r="BK9" s="27" t="s">
        <v>140</v>
      </c>
      <c r="BL9" s="27">
        <v>3.2</v>
      </c>
      <c r="BM9" s="12">
        <v>5.5</v>
      </c>
      <c r="BN9" s="12">
        <v>5.5</v>
      </c>
      <c r="BO9" s="12">
        <v>6</v>
      </c>
      <c r="BP9" s="12">
        <v>6</v>
      </c>
      <c r="BQ9" s="12">
        <v>6.5</v>
      </c>
      <c r="BR9" s="12">
        <v>6</v>
      </c>
      <c r="BS9" s="12">
        <v>6</v>
      </c>
      <c r="BT9" s="12">
        <v>57.6</v>
      </c>
      <c r="BU9" s="11">
        <v>320.60000000000002</v>
      </c>
      <c r="BV9" s="28">
        <v>10</v>
      </c>
      <c r="BW9" s="29">
        <v>8</v>
      </c>
      <c r="BX9" s="12">
        <v>105</v>
      </c>
      <c r="BY9" s="43">
        <v>2024</v>
      </c>
      <c r="BZ9" s="43" t="s">
        <v>9</v>
      </c>
      <c r="CA9" s="43" t="s">
        <v>141</v>
      </c>
    </row>
    <row r="10" spans="1:79" x14ac:dyDescent="0.35">
      <c r="A10" s="43">
        <v>9</v>
      </c>
      <c r="B10" s="43" t="s">
        <v>151</v>
      </c>
      <c r="C10" s="43" t="s">
        <v>150</v>
      </c>
      <c r="D10" s="43">
        <v>23</v>
      </c>
      <c r="E10" s="44">
        <v>314.45</v>
      </c>
      <c r="F10" s="44">
        <v>111.15</v>
      </c>
      <c r="G10" s="27" t="s">
        <v>4</v>
      </c>
      <c r="H10" s="27">
        <v>2.8</v>
      </c>
      <c r="I10" s="12">
        <v>8</v>
      </c>
      <c r="J10" s="12">
        <v>7.5</v>
      </c>
      <c r="K10" s="12">
        <v>7.5</v>
      </c>
      <c r="L10" s="12">
        <v>7.5</v>
      </c>
      <c r="M10" s="12">
        <v>7.5</v>
      </c>
      <c r="N10" s="12">
        <v>7.5</v>
      </c>
      <c r="O10" s="12">
        <v>7.5</v>
      </c>
      <c r="P10" s="12">
        <v>63</v>
      </c>
      <c r="Q10" s="11">
        <v>63</v>
      </c>
      <c r="R10" s="28">
        <f>9</f>
        <v>9</v>
      </c>
      <c r="S10" s="29">
        <f>9</f>
        <v>9</v>
      </c>
      <c r="T10" s="12">
        <v>27</v>
      </c>
      <c r="U10" s="27" t="s">
        <v>7</v>
      </c>
      <c r="V10" s="27">
        <v>3</v>
      </c>
      <c r="W10" s="12">
        <v>7.5</v>
      </c>
      <c r="X10" s="12">
        <v>7.5</v>
      </c>
      <c r="Y10" s="12">
        <v>7</v>
      </c>
      <c r="Z10" s="12">
        <v>7</v>
      </c>
      <c r="AA10" s="12">
        <v>7.5</v>
      </c>
      <c r="AB10" s="12">
        <v>7</v>
      </c>
      <c r="AC10" s="12">
        <v>7.5</v>
      </c>
      <c r="AD10" s="12">
        <v>66</v>
      </c>
      <c r="AE10" s="11">
        <v>129</v>
      </c>
      <c r="AF10" s="28">
        <v>6</v>
      </c>
      <c r="AG10" s="29">
        <v>9</v>
      </c>
      <c r="AH10" s="12">
        <v>45.8</v>
      </c>
      <c r="AI10" s="27" t="s">
        <v>5</v>
      </c>
      <c r="AJ10" s="27">
        <v>2.9</v>
      </c>
      <c r="AK10" s="12">
        <v>7.5</v>
      </c>
      <c r="AL10" s="12">
        <v>7.5</v>
      </c>
      <c r="AM10" s="12">
        <v>7</v>
      </c>
      <c r="AN10" s="12">
        <v>7.5</v>
      </c>
      <c r="AO10" s="12">
        <v>8</v>
      </c>
      <c r="AP10" s="12">
        <v>7</v>
      </c>
      <c r="AQ10" s="12">
        <v>7.5</v>
      </c>
      <c r="AR10" s="12">
        <v>65.25</v>
      </c>
      <c r="AS10" s="11">
        <v>194.25</v>
      </c>
      <c r="AT10" s="28">
        <v>7</v>
      </c>
      <c r="AU10" s="29">
        <v>9</v>
      </c>
      <c r="AV10" s="12">
        <v>57.35</v>
      </c>
      <c r="AW10" s="27" t="s">
        <v>23</v>
      </c>
      <c r="AX10" s="27">
        <v>2.8</v>
      </c>
      <c r="AY10" s="12">
        <v>8</v>
      </c>
      <c r="AZ10" s="12">
        <v>8</v>
      </c>
      <c r="BA10" s="12">
        <v>8</v>
      </c>
      <c r="BB10" s="12">
        <v>7.5</v>
      </c>
      <c r="BC10" s="12">
        <v>7.5</v>
      </c>
      <c r="BD10" s="12">
        <v>8</v>
      </c>
      <c r="BE10" s="12">
        <v>7.5</v>
      </c>
      <c r="BF10" s="12">
        <v>65.8</v>
      </c>
      <c r="BG10" s="11">
        <v>260.05</v>
      </c>
      <c r="BH10" s="28">
        <v>8</v>
      </c>
      <c r="BI10" s="29">
        <v>9</v>
      </c>
      <c r="BJ10" s="12">
        <v>83.95</v>
      </c>
      <c r="BK10" s="27" t="s">
        <v>140</v>
      </c>
      <c r="BL10" s="27">
        <v>3.2</v>
      </c>
      <c r="BM10" s="12">
        <v>6</v>
      </c>
      <c r="BN10" s="12">
        <v>5.5</v>
      </c>
      <c r="BO10" s="12">
        <v>5</v>
      </c>
      <c r="BP10" s="12">
        <v>5.5</v>
      </c>
      <c r="BQ10" s="12">
        <v>6</v>
      </c>
      <c r="BR10" s="12">
        <v>5.5</v>
      </c>
      <c r="BS10" s="12">
        <v>6</v>
      </c>
      <c r="BT10" s="12">
        <v>54.4</v>
      </c>
      <c r="BU10" s="11">
        <v>314.45</v>
      </c>
      <c r="BV10" s="28">
        <v>11</v>
      </c>
      <c r="BW10" s="29">
        <v>9</v>
      </c>
      <c r="BX10" s="12">
        <v>111.15</v>
      </c>
      <c r="BY10" s="43">
        <v>2024</v>
      </c>
      <c r="BZ10" s="43" t="s">
        <v>9</v>
      </c>
      <c r="CA10" s="43" t="s">
        <v>141</v>
      </c>
    </row>
    <row r="11" spans="1:79" x14ac:dyDescent="0.35">
      <c r="A11" s="43">
        <v>10</v>
      </c>
      <c r="B11" s="43" t="s">
        <v>15</v>
      </c>
      <c r="C11" s="43" t="s">
        <v>171</v>
      </c>
      <c r="D11" s="43">
        <v>24</v>
      </c>
      <c r="E11" s="44">
        <v>301.75</v>
      </c>
      <c r="F11" s="44">
        <v>123.85</v>
      </c>
      <c r="G11" s="27" t="s">
        <v>140</v>
      </c>
      <c r="H11" s="27">
        <v>3.2</v>
      </c>
      <c r="I11" s="12">
        <v>7.5</v>
      </c>
      <c r="J11" s="12">
        <v>7.5</v>
      </c>
      <c r="K11" s="12">
        <v>7.5</v>
      </c>
      <c r="L11" s="12">
        <v>7</v>
      </c>
      <c r="M11" s="12">
        <v>7</v>
      </c>
      <c r="N11" s="12">
        <v>7.5</v>
      </c>
      <c r="O11" s="12">
        <v>7.5</v>
      </c>
      <c r="P11" s="12">
        <v>72</v>
      </c>
      <c r="Q11" s="11">
        <v>72</v>
      </c>
      <c r="R11" s="28">
        <f>5</f>
        <v>5</v>
      </c>
      <c r="S11" s="29">
        <f>5</f>
        <v>5</v>
      </c>
      <c r="T11" s="12">
        <v>18</v>
      </c>
      <c r="U11" s="27" t="s">
        <v>7</v>
      </c>
      <c r="V11" s="27">
        <v>3</v>
      </c>
      <c r="W11" s="12">
        <v>7.5</v>
      </c>
      <c r="X11" s="12">
        <v>7</v>
      </c>
      <c r="Y11" s="12">
        <v>7</v>
      </c>
      <c r="Z11" s="12">
        <v>7</v>
      </c>
      <c r="AA11" s="12">
        <v>7.5</v>
      </c>
      <c r="AB11" s="12">
        <v>7</v>
      </c>
      <c r="AC11" s="12">
        <v>7.5</v>
      </c>
      <c r="AD11" s="12">
        <v>64.5</v>
      </c>
      <c r="AE11" s="11">
        <v>136.5</v>
      </c>
      <c r="AF11" s="28">
        <v>7</v>
      </c>
      <c r="AG11" s="29">
        <f>6</f>
        <v>6</v>
      </c>
      <c r="AH11" s="12">
        <v>38.299999999999997</v>
      </c>
      <c r="AI11" s="27" t="s">
        <v>137</v>
      </c>
      <c r="AJ11" s="27">
        <v>3.2</v>
      </c>
      <c r="AK11" s="12">
        <v>5.5</v>
      </c>
      <c r="AL11" s="12">
        <v>5.5</v>
      </c>
      <c r="AM11" s="12">
        <v>6</v>
      </c>
      <c r="AN11" s="12">
        <v>6</v>
      </c>
      <c r="AO11" s="12">
        <v>6</v>
      </c>
      <c r="AP11" s="12">
        <v>5</v>
      </c>
      <c r="AQ11" s="12">
        <v>6</v>
      </c>
      <c r="AR11" s="12">
        <v>56</v>
      </c>
      <c r="AS11" s="11">
        <v>192.5</v>
      </c>
      <c r="AT11" s="28">
        <v>10</v>
      </c>
      <c r="AU11" s="29">
        <v>10</v>
      </c>
      <c r="AV11" s="12">
        <v>59.1</v>
      </c>
      <c r="AW11" s="27" t="s">
        <v>5</v>
      </c>
      <c r="AX11" s="27">
        <v>2.9</v>
      </c>
      <c r="AY11" s="12">
        <v>4.5</v>
      </c>
      <c r="AZ11" s="12">
        <v>5</v>
      </c>
      <c r="BA11" s="12">
        <v>5</v>
      </c>
      <c r="BB11" s="12">
        <v>5</v>
      </c>
      <c r="BC11" s="12">
        <v>4</v>
      </c>
      <c r="BD11" s="12">
        <v>5</v>
      </c>
      <c r="BE11" s="12">
        <v>4.5</v>
      </c>
      <c r="BF11" s="12">
        <v>42.05</v>
      </c>
      <c r="BG11" s="11">
        <v>234.55</v>
      </c>
      <c r="BH11" s="28">
        <v>12</v>
      </c>
      <c r="BI11" s="29">
        <v>10</v>
      </c>
      <c r="BJ11" s="12">
        <v>109.45</v>
      </c>
      <c r="BK11" s="27" t="s">
        <v>138</v>
      </c>
      <c r="BL11" s="27">
        <v>3.2</v>
      </c>
      <c r="BM11" s="12">
        <v>7.5</v>
      </c>
      <c r="BN11" s="12">
        <v>7.5</v>
      </c>
      <c r="BO11" s="12">
        <v>7</v>
      </c>
      <c r="BP11" s="12">
        <v>6.5</v>
      </c>
      <c r="BQ11" s="12">
        <v>7</v>
      </c>
      <c r="BR11" s="12">
        <v>7</v>
      </c>
      <c r="BS11" s="12">
        <v>7</v>
      </c>
      <c r="BT11" s="12">
        <v>67.2</v>
      </c>
      <c r="BU11" s="11">
        <v>301.75</v>
      </c>
      <c r="BV11" s="28">
        <v>7</v>
      </c>
      <c r="BW11" s="29">
        <v>10</v>
      </c>
      <c r="BX11" s="12">
        <v>123.85</v>
      </c>
      <c r="BY11" s="43">
        <v>2024</v>
      </c>
      <c r="BZ11" s="43" t="s">
        <v>9</v>
      </c>
      <c r="CA11" s="43" t="s">
        <v>141</v>
      </c>
    </row>
    <row r="12" spans="1:79" x14ac:dyDescent="0.35">
      <c r="A12" s="43">
        <v>11</v>
      </c>
      <c r="B12" s="43" t="s">
        <v>12</v>
      </c>
      <c r="C12" s="43" t="s">
        <v>152</v>
      </c>
      <c r="D12" s="43">
        <v>32</v>
      </c>
      <c r="E12" s="44">
        <v>278.3</v>
      </c>
      <c r="F12" s="44">
        <v>147.30000000000001</v>
      </c>
      <c r="G12" s="27" t="s">
        <v>7</v>
      </c>
      <c r="H12" s="27">
        <v>3</v>
      </c>
      <c r="I12" s="12">
        <v>6.5</v>
      </c>
      <c r="J12" s="12">
        <v>6.5</v>
      </c>
      <c r="K12" s="12">
        <v>6.5</v>
      </c>
      <c r="L12" s="12">
        <v>6.5</v>
      </c>
      <c r="M12" s="12">
        <v>7</v>
      </c>
      <c r="N12" s="12">
        <v>6.5</v>
      </c>
      <c r="O12" s="12">
        <v>6.5</v>
      </c>
      <c r="P12" s="12">
        <v>58.5</v>
      </c>
      <c r="Q12" s="11">
        <v>58.5</v>
      </c>
      <c r="R12" s="28">
        <v>11</v>
      </c>
      <c r="S12" s="29">
        <v>11</v>
      </c>
      <c r="T12" s="12">
        <v>31.5</v>
      </c>
      <c r="U12" s="27" t="s">
        <v>138</v>
      </c>
      <c r="V12" s="27">
        <v>3.2</v>
      </c>
      <c r="W12" s="12">
        <v>7</v>
      </c>
      <c r="X12" s="12">
        <v>7</v>
      </c>
      <c r="Y12" s="12">
        <v>6.5</v>
      </c>
      <c r="Z12" s="12">
        <v>6.5</v>
      </c>
      <c r="AA12" s="12">
        <v>6.5</v>
      </c>
      <c r="AB12" s="12">
        <v>6.5</v>
      </c>
      <c r="AC12" s="12">
        <v>7</v>
      </c>
      <c r="AD12" s="12">
        <v>64</v>
      </c>
      <c r="AE12" s="11">
        <v>122.5</v>
      </c>
      <c r="AF12" s="28">
        <f>8</f>
        <v>8</v>
      </c>
      <c r="AG12" s="29">
        <v>11</v>
      </c>
      <c r="AH12" s="12">
        <v>52.3</v>
      </c>
      <c r="AI12" s="27" t="s">
        <v>23</v>
      </c>
      <c r="AJ12" s="27">
        <v>2.8</v>
      </c>
      <c r="AK12" s="12">
        <v>5</v>
      </c>
      <c r="AL12" s="12">
        <v>5</v>
      </c>
      <c r="AM12" s="12">
        <v>4.5</v>
      </c>
      <c r="AN12" s="12">
        <v>4.5</v>
      </c>
      <c r="AO12" s="12">
        <v>4.5</v>
      </c>
      <c r="AP12" s="12">
        <v>5.5</v>
      </c>
      <c r="AQ12" s="12">
        <v>5.5</v>
      </c>
      <c r="AR12" s="12">
        <v>40.6</v>
      </c>
      <c r="AS12" s="11">
        <v>163.1</v>
      </c>
      <c r="AT12" s="28">
        <v>12</v>
      </c>
      <c r="AU12" s="29">
        <v>11</v>
      </c>
      <c r="AV12" s="12">
        <v>88.5</v>
      </c>
      <c r="AW12" s="27" t="s">
        <v>137</v>
      </c>
      <c r="AX12" s="27">
        <v>3.2</v>
      </c>
      <c r="AY12" s="12">
        <v>5.5</v>
      </c>
      <c r="AZ12" s="12">
        <v>5.5</v>
      </c>
      <c r="BA12" s="12">
        <v>5.5</v>
      </c>
      <c r="BB12" s="12">
        <v>6</v>
      </c>
      <c r="BC12" s="12">
        <v>5.5</v>
      </c>
      <c r="BD12" s="12">
        <v>5</v>
      </c>
      <c r="BE12" s="12">
        <v>5</v>
      </c>
      <c r="BF12" s="12">
        <v>52.8</v>
      </c>
      <c r="BG12" s="11">
        <v>215.9</v>
      </c>
      <c r="BH12" s="28">
        <v>11</v>
      </c>
      <c r="BI12" s="29">
        <v>11</v>
      </c>
      <c r="BJ12" s="12">
        <v>128.1</v>
      </c>
      <c r="BK12" s="27" t="s">
        <v>140</v>
      </c>
      <c r="BL12" s="27">
        <v>3.2</v>
      </c>
      <c r="BM12" s="12">
        <v>7</v>
      </c>
      <c r="BN12" s="12">
        <v>6.5</v>
      </c>
      <c r="BO12" s="12">
        <v>6</v>
      </c>
      <c r="BP12" s="12">
        <v>6.5</v>
      </c>
      <c r="BQ12" s="12">
        <v>6.5</v>
      </c>
      <c r="BR12" s="12">
        <v>6.5</v>
      </c>
      <c r="BS12" s="12">
        <v>6.5</v>
      </c>
      <c r="BT12" s="12">
        <v>62.4</v>
      </c>
      <c r="BU12" s="11">
        <v>278.3</v>
      </c>
      <c r="BV12" s="28">
        <f>8</f>
        <v>8</v>
      </c>
      <c r="BW12" s="29">
        <v>11</v>
      </c>
      <c r="BX12" s="12">
        <v>147.30000000000001</v>
      </c>
      <c r="BY12" s="43">
        <v>2024</v>
      </c>
      <c r="BZ12" s="43" t="s">
        <v>9</v>
      </c>
      <c r="CA12" s="43" t="s">
        <v>141</v>
      </c>
    </row>
    <row r="13" spans="1:79" x14ac:dyDescent="0.35">
      <c r="A13" s="43">
        <v>12</v>
      </c>
      <c r="B13" s="43" t="s">
        <v>37</v>
      </c>
      <c r="C13" s="43" t="s">
        <v>153</v>
      </c>
      <c r="D13" s="43">
        <v>21</v>
      </c>
      <c r="E13" s="44">
        <v>250.35</v>
      </c>
      <c r="F13" s="44">
        <v>175.25</v>
      </c>
      <c r="G13" s="27" t="s">
        <v>5</v>
      </c>
      <c r="H13" s="27">
        <v>2.9</v>
      </c>
      <c r="I13" s="12">
        <v>6</v>
      </c>
      <c r="J13" s="12">
        <v>5.5</v>
      </c>
      <c r="K13" s="12">
        <v>6</v>
      </c>
      <c r="L13" s="12">
        <v>6</v>
      </c>
      <c r="M13" s="12">
        <v>6.5</v>
      </c>
      <c r="N13" s="12">
        <v>6</v>
      </c>
      <c r="O13" s="12">
        <v>6</v>
      </c>
      <c r="P13" s="12">
        <v>52.2</v>
      </c>
      <c r="Q13" s="11">
        <v>52.2</v>
      </c>
      <c r="R13" s="28">
        <v>12</v>
      </c>
      <c r="S13" s="29">
        <v>12</v>
      </c>
      <c r="T13" s="12">
        <v>37.799999999999997</v>
      </c>
      <c r="U13" s="27" t="s">
        <v>23</v>
      </c>
      <c r="V13" s="27">
        <v>2.8</v>
      </c>
      <c r="W13" s="12">
        <v>5.5</v>
      </c>
      <c r="X13" s="12">
        <v>5.5</v>
      </c>
      <c r="Y13" s="12">
        <v>5.5</v>
      </c>
      <c r="Z13" s="12">
        <v>5</v>
      </c>
      <c r="AA13" s="12">
        <v>5.5</v>
      </c>
      <c r="AB13" s="12">
        <v>5</v>
      </c>
      <c r="AC13" s="12">
        <v>5</v>
      </c>
      <c r="AD13" s="12">
        <v>44.8</v>
      </c>
      <c r="AE13" s="11">
        <v>97</v>
      </c>
      <c r="AF13" s="28">
        <v>12</v>
      </c>
      <c r="AG13" s="29">
        <v>12</v>
      </c>
      <c r="AH13" s="12">
        <v>77.8</v>
      </c>
      <c r="AI13" s="27" t="s">
        <v>7</v>
      </c>
      <c r="AJ13" s="27">
        <v>3</v>
      </c>
      <c r="AK13" s="12">
        <v>5</v>
      </c>
      <c r="AL13" s="12">
        <v>5</v>
      </c>
      <c r="AM13" s="12">
        <v>5</v>
      </c>
      <c r="AN13" s="12">
        <v>5.5</v>
      </c>
      <c r="AO13" s="12">
        <v>5</v>
      </c>
      <c r="AP13" s="12">
        <v>4.5</v>
      </c>
      <c r="AQ13" s="12">
        <v>5</v>
      </c>
      <c r="AR13" s="12">
        <v>45</v>
      </c>
      <c r="AS13" s="11">
        <v>142</v>
      </c>
      <c r="AT13" s="28">
        <v>11</v>
      </c>
      <c r="AU13" s="29">
        <v>12</v>
      </c>
      <c r="AV13" s="12">
        <v>109.6</v>
      </c>
      <c r="AW13" s="27" t="s">
        <v>137</v>
      </c>
      <c r="AX13" s="27">
        <v>3.2</v>
      </c>
      <c r="AY13" s="12">
        <v>6</v>
      </c>
      <c r="AZ13" s="12">
        <v>6</v>
      </c>
      <c r="BA13" s="12">
        <v>6</v>
      </c>
      <c r="BB13" s="12">
        <v>6</v>
      </c>
      <c r="BC13" s="12">
        <v>6</v>
      </c>
      <c r="BD13" s="12">
        <v>6</v>
      </c>
      <c r="BE13" s="12">
        <v>5.5</v>
      </c>
      <c r="BF13" s="12">
        <v>57.6</v>
      </c>
      <c r="BG13" s="11">
        <v>199.6</v>
      </c>
      <c r="BH13" s="28">
        <v>10</v>
      </c>
      <c r="BI13" s="29">
        <v>12</v>
      </c>
      <c r="BJ13" s="12">
        <v>144.4</v>
      </c>
      <c r="BK13" s="27" t="s">
        <v>8</v>
      </c>
      <c r="BL13" s="27">
        <v>2.9</v>
      </c>
      <c r="BM13" s="12">
        <v>6</v>
      </c>
      <c r="BN13" s="12">
        <v>6</v>
      </c>
      <c r="BO13" s="12">
        <v>5.5</v>
      </c>
      <c r="BP13" s="12">
        <v>6</v>
      </c>
      <c r="BQ13" s="12">
        <v>6</v>
      </c>
      <c r="BR13" s="12">
        <v>5.5</v>
      </c>
      <c r="BS13" s="12">
        <v>5.5</v>
      </c>
      <c r="BT13" s="12">
        <v>50.75</v>
      </c>
      <c r="BU13" s="11">
        <v>250.35</v>
      </c>
      <c r="BV13" s="28">
        <v>12</v>
      </c>
      <c r="BW13" s="29">
        <v>12</v>
      </c>
      <c r="BX13" s="12">
        <v>175.25</v>
      </c>
      <c r="BY13" s="43">
        <v>2024</v>
      </c>
      <c r="BZ13" s="43" t="s">
        <v>9</v>
      </c>
      <c r="CA13" s="43" t="s">
        <v>141</v>
      </c>
    </row>
    <row r="14" spans="1:79" x14ac:dyDescent="0.35">
      <c r="A14" s="41">
        <v>1</v>
      </c>
      <c r="B14" s="41" t="s">
        <v>3</v>
      </c>
      <c r="C14" s="41" t="s">
        <v>136</v>
      </c>
      <c r="D14" s="43">
        <v>14</v>
      </c>
      <c r="E14" s="44">
        <v>466.2</v>
      </c>
      <c r="F14" s="44">
        <v>0</v>
      </c>
      <c r="G14" s="27" t="s">
        <v>7</v>
      </c>
      <c r="H14" s="27">
        <v>3</v>
      </c>
      <c r="I14" s="11">
        <v>10</v>
      </c>
      <c r="J14" s="12">
        <v>9.5</v>
      </c>
      <c r="K14" s="12">
        <v>9</v>
      </c>
      <c r="L14" s="12">
        <v>9</v>
      </c>
      <c r="M14" s="12">
        <v>9.5</v>
      </c>
      <c r="N14" s="12">
        <v>9</v>
      </c>
      <c r="O14" s="12">
        <v>9</v>
      </c>
      <c r="P14" s="12">
        <v>82.5</v>
      </c>
      <c r="Q14" s="11">
        <v>82.5</v>
      </c>
      <c r="R14" s="28">
        <f>1</f>
        <v>1</v>
      </c>
      <c r="S14" s="29">
        <f>1</f>
        <v>1</v>
      </c>
      <c r="T14" s="12">
        <v>0</v>
      </c>
      <c r="U14" s="27" t="s">
        <v>137</v>
      </c>
      <c r="V14" s="27">
        <v>3.2</v>
      </c>
      <c r="W14" s="11">
        <v>10</v>
      </c>
      <c r="X14" s="11">
        <v>10</v>
      </c>
      <c r="Y14" s="11">
        <v>10</v>
      </c>
      <c r="Z14" s="11">
        <v>10</v>
      </c>
      <c r="AA14" s="11">
        <v>10</v>
      </c>
      <c r="AB14" s="11">
        <v>10</v>
      </c>
      <c r="AC14" s="11">
        <v>10</v>
      </c>
      <c r="AD14" s="12">
        <v>96</v>
      </c>
      <c r="AE14" s="11">
        <v>178.5</v>
      </c>
      <c r="AF14" s="28">
        <v>1</v>
      </c>
      <c r="AG14" s="29">
        <v>1</v>
      </c>
      <c r="AH14" s="12">
        <v>0</v>
      </c>
      <c r="AI14" s="12" t="s">
        <v>139</v>
      </c>
      <c r="AJ14" s="27">
        <v>3.3</v>
      </c>
      <c r="AK14" s="29">
        <v>10</v>
      </c>
      <c r="AL14" s="12">
        <v>9.5</v>
      </c>
      <c r="AM14" s="12">
        <v>9.5</v>
      </c>
      <c r="AN14" s="12">
        <v>9.5</v>
      </c>
      <c r="AO14" s="11">
        <v>10</v>
      </c>
      <c r="AP14" s="11">
        <v>10</v>
      </c>
      <c r="AQ14" s="12">
        <v>9.5</v>
      </c>
      <c r="AR14" s="12">
        <v>95.7</v>
      </c>
      <c r="AS14" s="11">
        <v>274.2</v>
      </c>
      <c r="AT14" s="13">
        <v>1</v>
      </c>
      <c r="AU14" s="29">
        <v>1</v>
      </c>
      <c r="AV14" s="29">
        <v>0</v>
      </c>
      <c r="AW14" s="27" t="s">
        <v>138</v>
      </c>
      <c r="AX14" s="27">
        <v>3.2</v>
      </c>
      <c r="AY14" s="11">
        <v>10</v>
      </c>
      <c r="AZ14" s="11">
        <v>10</v>
      </c>
      <c r="BA14" s="11">
        <v>10</v>
      </c>
      <c r="BB14" s="11">
        <v>10</v>
      </c>
      <c r="BC14" s="11">
        <v>10</v>
      </c>
      <c r="BD14" s="11">
        <v>10</v>
      </c>
      <c r="BE14" s="11">
        <v>10</v>
      </c>
      <c r="BF14" s="12">
        <v>96</v>
      </c>
      <c r="BG14" s="11">
        <v>370.2</v>
      </c>
      <c r="BH14" s="28">
        <v>1</v>
      </c>
      <c r="BI14" s="29">
        <v>1</v>
      </c>
      <c r="BJ14" s="29">
        <v>0</v>
      </c>
      <c r="BK14" s="27" t="s">
        <v>140</v>
      </c>
      <c r="BL14" s="27">
        <v>3.2</v>
      </c>
      <c r="BM14" s="11">
        <v>10</v>
      </c>
      <c r="BN14" s="12">
        <v>9.5</v>
      </c>
      <c r="BO14" s="11">
        <v>10</v>
      </c>
      <c r="BP14" s="11">
        <v>10</v>
      </c>
      <c r="BQ14" s="11">
        <v>10</v>
      </c>
      <c r="BR14" s="11">
        <v>10</v>
      </c>
      <c r="BS14" s="11">
        <v>10</v>
      </c>
      <c r="BT14" s="12">
        <v>96</v>
      </c>
      <c r="BU14" s="11">
        <v>466.2</v>
      </c>
      <c r="BV14" s="28">
        <v>1</v>
      </c>
      <c r="BW14" s="29">
        <v>1</v>
      </c>
      <c r="BX14" s="12">
        <v>0</v>
      </c>
      <c r="BY14" s="43">
        <v>2020</v>
      </c>
      <c r="BZ14" s="43" t="s">
        <v>9</v>
      </c>
      <c r="CA14" s="43" t="s">
        <v>141</v>
      </c>
    </row>
    <row r="15" spans="1:79" x14ac:dyDescent="0.35">
      <c r="A15" s="43">
        <v>2</v>
      </c>
      <c r="B15" s="43" t="s">
        <v>3</v>
      </c>
      <c r="C15" s="43" t="s">
        <v>142</v>
      </c>
      <c r="D15" s="43">
        <v>15</v>
      </c>
      <c r="E15" s="44">
        <v>425.4</v>
      </c>
      <c r="F15" s="44">
        <v>40.799999999999997</v>
      </c>
      <c r="G15" s="27" t="s">
        <v>7</v>
      </c>
      <c r="H15" s="27">
        <v>3</v>
      </c>
      <c r="I15" s="12">
        <v>9.5</v>
      </c>
      <c r="J15" s="12">
        <v>9.5</v>
      </c>
      <c r="K15" s="12">
        <v>9</v>
      </c>
      <c r="L15" s="12">
        <v>9</v>
      </c>
      <c r="M15" s="12">
        <v>9</v>
      </c>
      <c r="N15" s="12">
        <v>9.5</v>
      </c>
      <c r="O15" s="12">
        <v>9</v>
      </c>
      <c r="P15" s="12">
        <v>82.5</v>
      </c>
      <c r="Q15" s="11">
        <v>82.5</v>
      </c>
      <c r="R15" s="28">
        <f>1</f>
        <v>1</v>
      </c>
      <c r="S15" s="29">
        <f>1</f>
        <v>1</v>
      </c>
      <c r="T15" s="12">
        <v>0</v>
      </c>
      <c r="U15" s="27" t="s">
        <v>137</v>
      </c>
      <c r="V15" s="27">
        <v>3.2</v>
      </c>
      <c r="W15" s="12">
        <v>8</v>
      </c>
      <c r="X15" s="12">
        <v>8</v>
      </c>
      <c r="Y15" s="12">
        <v>7.5</v>
      </c>
      <c r="Z15" s="12">
        <v>7.5</v>
      </c>
      <c r="AA15" s="12">
        <v>8</v>
      </c>
      <c r="AB15" s="12">
        <v>8.5</v>
      </c>
      <c r="AC15" s="12">
        <v>8.5</v>
      </c>
      <c r="AD15" s="12">
        <v>76.8</v>
      </c>
      <c r="AE15" s="11">
        <v>159.30000000000001</v>
      </c>
      <c r="AF15" s="28">
        <f>2</f>
        <v>2</v>
      </c>
      <c r="AG15" s="29">
        <v>2</v>
      </c>
      <c r="AH15" s="12">
        <v>19.2</v>
      </c>
      <c r="AI15" s="27" t="s">
        <v>143</v>
      </c>
      <c r="AJ15" s="27">
        <v>3.3</v>
      </c>
      <c r="AK15" s="12">
        <v>8</v>
      </c>
      <c r="AL15" s="12">
        <v>8.5</v>
      </c>
      <c r="AM15" s="12">
        <v>8.5</v>
      </c>
      <c r="AN15" s="12">
        <v>9</v>
      </c>
      <c r="AO15" s="12">
        <v>9</v>
      </c>
      <c r="AP15" s="12">
        <v>9</v>
      </c>
      <c r="AQ15" s="12">
        <v>8.5</v>
      </c>
      <c r="AR15" s="12">
        <v>85.8</v>
      </c>
      <c r="AS15" s="11">
        <v>245.1</v>
      </c>
      <c r="AT15" s="28">
        <v>2</v>
      </c>
      <c r="AU15" s="29">
        <v>2</v>
      </c>
      <c r="AV15" s="12">
        <v>29.1</v>
      </c>
      <c r="AW15" s="27" t="s">
        <v>139</v>
      </c>
      <c r="AX15" s="27">
        <v>3.3</v>
      </c>
      <c r="AY15" s="12">
        <v>9.5</v>
      </c>
      <c r="AZ15" s="12">
        <v>9</v>
      </c>
      <c r="BA15" s="12">
        <v>9</v>
      </c>
      <c r="BB15" s="12">
        <v>9</v>
      </c>
      <c r="BC15" s="12">
        <v>9</v>
      </c>
      <c r="BD15" s="12">
        <v>8.5</v>
      </c>
      <c r="BE15" s="12">
        <v>9</v>
      </c>
      <c r="BF15" s="12">
        <v>89.1</v>
      </c>
      <c r="BG15" s="11">
        <v>334.2</v>
      </c>
      <c r="BH15" s="28">
        <v>2</v>
      </c>
      <c r="BI15" s="29">
        <v>2</v>
      </c>
      <c r="BJ15" s="12">
        <v>36</v>
      </c>
      <c r="BK15" s="27" t="s">
        <v>140</v>
      </c>
      <c r="BL15" s="27">
        <v>3.2</v>
      </c>
      <c r="BM15" s="12">
        <v>9.5</v>
      </c>
      <c r="BN15" s="12">
        <v>9</v>
      </c>
      <c r="BO15" s="12">
        <v>9.5</v>
      </c>
      <c r="BP15" s="12">
        <v>9.5</v>
      </c>
      <c r="BQ15" s="12">
        <v>9.5</v>
      </c>
      <c r="BR15" s="12">
        <v>9.5</v>
      </c>
      <c r="BS15" s="12">
        <v>9.5</v>
      </c>
      <c r="BT15" s="12">
        <v>91.2</v>
      </c>
      <c r="BU15" s="11">
        <v>425.4</v>
      </c>
      <c r="BV15" s="28">
        <v>2</v>
      </c>
      <c r="BW15" s="29">
        <v>2</v>
      </c>
      <c r="BX15" s="12">
        <v>40.799999999999997</v>
      </c>
      <c r="BY15" s="43">
        <v>2020</v>
      </c>
      <c r="BZ15" s="43" t="s">
        <v>9</v>
      </c>
      <c r="CA15" s="43" t="s">
        <v>141</v>
      </c>
    </row>
    <row r="16" spans="1:79" x14ac:dyDescent="0.35">
      <c r="A16" s="43">
        <v>3</v>
      </c>
      <c r="B16" s="43" t="s">
        <v>12</v>
      </c>
      <c r="C16" s="43" t="s">
        <v>152</v>
      </c>
      <c r="D16" s="43">
        <v>29</v>
      </c>
      <c r="E16" s="44">
        <v>371.4</v>
      </c>
      <c r="F16" s="44">
        <v>94.8</v>
      </c>
      <c r="G16" s="27" t="s">
        <v>7</v>
      </c>
      <c r="H16" s="27">
        <v>3</v>
      </c>
      <c r="I16" s="12">
        <v>8</v>
      </c>
      <c r="J16" s="12">
        <v>8.5</v>
      </c>
      <c r="K16" s="12">
        <v>8.5</v>
      </c>
      <c r="L16" s="12">
        <v>8.5</v>
      </c>
      <c r="M16" s="12">
        <v>8.5</v>
      </c>
      <c r="N16" s="12">
        <v>8</v>
      </c>
      <c r="O16" s="12">
        <v>7.5</v>
      </c>
      <c r="P16" s="12">
        <v>75</v>
      </c>
      <c r="Q16" s="11">
        <v>75</v>
      </c>
      <c r="R16" s="28">
        <v>4</v>
      </c>
      <c r="S16" s="29">
        <v>4</v>
      </c>
      <c r="T16" s="12">
        <v>7.5</v>
      </c>
      <c r="U16" s="27" t="s">
        <v>138</v>
      </c>
      <c r="V16" s="27">
        <v>3.2</v>
      </c>
      <c r="W16" s="12">
        <v>8</v>
      </c>
      <c r="X16" s="12">
        <v>7.5</v>
      </c>
      <c r="Y16" s="12">
        <v>7.5</v>
      </c>
      <c r="Z16" s="12">
        <v>8</v>
      </c>
      <c r="AA16" s="12">
        <v>8</v>
      </c>
      <c r="AB16" s="12">
        <v>8</v>
      </c>
      <c r="AC16" s="12">
        <v>8</v>
      </c>
      <c r="AD16" s="12">
        <v>76.8</v>
      </c>
      <c r="AE16" s="11">
        <v>151.80000000000001</v>
      </c>
      <c r="AF16" s="28">
        <f>2</f>
        <v>2</v>
      </c>
      <c r="AG16" s="29">
        <v>3</v>
      </c>
      <c r="AH16" s="12">
        <v>26.7</v>
      </c>
      <c r="AI16" s="27" t="s">
        <v>23</v>
      </c>
      <c r="AJ16" s="27">
        <v>2.8</v>
      </c>
      <c r="AK16" s="12">
        <v>7.5</v>
      </c>
      <c r="AL16" s="12">
        <v>8</v>
      </c>
      <c r="AM16" s="12">
        <v>8</v>
      </c>
      <c r="AN16" s="12">
        <v>8</v>
      </c>
      <c r="AO16" s="12">
        <v>7.5</v>
      </c>
      <c r="AP16" s="12">
        <v>7.5</v>
      </c>
      <c r="AQ16" s="12">
        <v>7.5</v>
      </c>
      <c r="AR16" s="12">
        <v>64.400000000000006</v>
      </c>
      <c r="AS16" s="11">
        <v>216.2</v>
      </c>
      <c r="AT16" s="28">
        <v>4</v>
      </c>
      <c r="AU16" s="29">
        <v>3</v>
      </c>
      <c r="AV16" s="12">
        <v>58</v>
      </c>
      <c r="AW16" s="27" t="s">
        <v>137</v>
      </c>
      <c r="AX16" s="27">
        <v>3.2</v>
      </c>
      <c r="AY16" s="12">
        <v>7.5</v>
      </c>
      <c r="AZ16" s="12">
        <v>7.5</v>
      </c>
      <c r="BA16" s="12">
        <v>7.5</v>
      </c>
      <c r="BB16" s="12">
        <v>8.5</v>
      </c>
      <c r="BC16" s="12">
        <v>8</v>
      </c>
      <c r="BD16" s="12">
        <v>8</v>
      </c>
      <c r="BE16" s="12">
        <v>6</v>
      </c>
      <c r="BF16" s="12">
        <v>73.599999999999994</v>
      </c>
      <c r="BG16" s="11">
        <v>289.8</v>
      </c>
      <c r="BH16" s="28">
        <v>6</v>
      </c>
      <c r="BI16" s="29">
        <v>3</v>
      </c>
      <c r="BJ16" s="12">
        <v>80.400000000000006</v>
      </c>
      <c r="BK16" s="27" t="s">
        <v>140</v>
      </c>
      <c r="BL16" s="27">
        <v>3.2</v>
      </c>
      <c r="BM16" s="12">
        <v>8.5</v>
      </c>
      <c r="BN16" s="12">
        <v>8.5</v>
      </c>
      <c r="BO16" s="12">
        <v>8.5</v>
      </c>
      <c r="BP16" s="12">
        <v>8.5</v>
      </c>
      <c r="BQ16" s="12">
        <v>8.5</v>
      </c>
      <c r="BR16" s="12">
        <v>8.5</v>
      </c>
      <c r="BS16" s="12">
        <v>8.5</v>
      </c>
      <c r="BT16" s="12">
        <v>81.599999999999994</v>
      </c>
      <c r="BU16" s="11">
        <v>371.4</v>
      </c>
      <c r="BV16" s="28">
        <v>3</v>
      </c>
      <c r="BW16" s="29">
        <v>3</v>
      </c>
      <c r="BX16" s="12">
        <v>94.8</v>
      </c>
      <c r="BY16" s="43">
        <v>2020</v>
      </c>
      <c r="BZ16" s="43" t="s">
        <v>9</v>
      </c>
      <c r="CA16" s="43" t="s">
        <v>141</v>
      </c>
    </row>
    <row r="17" spans="1:79" x14ac:dyDescent="0.35">
      <c r="A17" s="43">
        <v>4</v>
      </c>
      <c r="B17" s="43" t="s">
        <v>18</v>
      </c>
      <c r="C17" s="43" t="s">
        <v>146</v>
      </c>
      <c r="D17" s="43">
        <v>21</v>
      </c>
      <c r="E17" s="44">
        <v>358.5</v>
      </c>
      <c r="F17" s="44">
        <v>107.7</v>
      </c>
      <c r="G17" s="27" t="s">
        <v>7</v>
      </c>
      <c r="H17" s="27">
        <v>3</v>
      </c>
      <c r="I17" s="12">
        <v>7.5</v>
      </c>
      <c r="J17" s="12">
        <v>7.5</v>
      </c>
      <c r="K17" s="12">
        <v>7</v>
      </c>
      <c r="L17" s="12">
        <v>7</v>
      </c>
      <c r="M17" s="12">
        <v>7</v>
      </c>
      <c r="N17" s="12">
        <v>7.5</v>
      </c>
      <c r="O17" s="12">
        <v>7</v>
      </c>
      <c r="P17" s="12">
        <v>64.5</v>
      </c>
      <c r="Q17" s="11">
        <v>64.5</v>
      </c>
      <c r="R17" s="28">
        <v>7</v>
      </c>
      <c r="S17" s="29">
        <v>7</v>
      </c>
      <c r="T17" s="12">
        <v>18</v>
      </c>
      <c r="U17" s="27" t="s">
        <v>139</v>
      </c>
      <c r="V17" s="27">
        <v>3.3</v>
      </c>
      <c r="W17" s="12">
        <v>7.5</v>
      </c>
      <c r="X17" s="12">
        <v>7.5</v>
      </c>
      <c r="Y17" s="12">
        <v>7</v>
      </c>
      <c r="Z17" s="12">
        <v>7</v>
      </c>
      <c r="AA17" s="12">
        <v>7</v>
      </c>
      <c r="AB17" s="12">
        <v>7.5</v>
      </c>
      <c r="AC17" s="12">
        <v>7</v>
      </c>
      <c r="AD17" s="12">
        <v>70.95</v>
      </c>
      <c r="AE17" s="11">
        <v>135.44999999999999</v>
      </c>
      <c r="AF17" s="28">
        <v>5</v>
      </c>
      <c r="AG17" s="29">
        <v>5</v>
      </c>
      <c r="AH17" s="12">
        <v>43.05</v>
      </c>
      <c r="AI17" s="27" t="s">
        <v>137</v>
      </c>
      <c r="AJ17" s="27">
        <v>3.2</v>
      </c>
      <c r="AK17" s="12">
        <v>7.5</v>
      </c>
      <c r="AL17" s="12">
        <v>7</v>
      </c>
      <c r="AM17" s="12">
        <v>7</v>
      </c>
      <c r="AN17" s="12">
        <v>8</v>
      </c>
      <c r="AO17" s="12">
        <v>8</v>
      </c>
      <c r="AP17" s="12">
        <v>7.5</v>
      </c>
      <c r="AQ17" s="12">
        <v>8</v>
      </c>
      <c r="AR17" s="12">
        <v>73.599999999999994</v>
      </c>
      <c r="AS17" s="11">
        <v>209.05</v>
      </c>
      <c r="AT17" s="28">
        <v>3</v>
      </c>
      <c r="AU17" s="29">
        <v>4</v>
      </c>
      <c r="AV17" s="12">
        <v>65.150000000000006</v>
      </c>
      <c r="AW17" s="27" t="s">
        <v>143</v>
      </c>
      <c r="AX17" s="27">
        <v>3.3</v>
      </c>
      <c r="AY17" s="12">
        <v>7.5</v>
      </c>
      <c r="AZ17" s="12">
        <v>7</v>
      </c>
      <c r="BA17" s="12">
        <v>7.5</v>
      </c>
      <c r="BB17" s="12">
        <v>8</v>
      </c>
      <c r="BC17" s="12">
        <v>7.5</v>
      </c>
      <c r="BD17" s="12">
        <v>8</v>
      </c>
      <c r="BE17" s="12">
        <v>7.5</v>
      </c>
      <c r="BF17" s="12">
        <v>74.25</v>
      </c>
      <c r="BG17" s="11">
        <v>283.3</v>
      </c>
      <c r="BH17" s="28">
        <v>5</v>
      </c>
      <c r="BI17" s="29">
        <v>4</v>
      </c>
      <c r="BJ17" s="12">
        <v>86.9</v>
      </c>
      <c r="BK17" s="27" t="s">
        <v>140</v>
      </c>
      <c r="BL17" s="27">
        <v>3.2</v>
      </c>
      <c r="BM17" s="12">
        <v>8</v>
      </c>
      <c r="BN17" s="12">
        <v>8</v>
      </c>
      <c r="BO17" s="12">
        <v>7</v>
      </c>
      <c r="BP17" s="12">
        <v>7.5</v>
      </c>
      <c r="BQ17" s="12">
        <v>7.5</v>
      </c>
      <c r="BR17" s="12">
        <v>8</v>
      </c>
      <c r="BS17" s="12">
        <v>8</v>
      </c>
      <c r="BT17" s="12">
        <v>75.2</v>
      </c>
      <c r="BU17" s="11">
        <v>358.5</v>
      </c>
      <c r="BV17" s="28">
        <v>4</v>
      </c>
      <c r="BW17" s="29">
        <v>4</v>
      </c>
      <c r="BX17" s="12">
        <v>107.7</v>
      </c>
      <c r="BY17" s="43">
        <v>2020</v>
      </c>
      <c r="BZ17" s="43" t="s">
        <v>9</v>
      </c>
      <c r="CA17" s="43" t="s">
        <v>141</v>
      </c>
    </row>
    <row r="18" spans="1:79" x14ac:dyDescent="0.35">
      <c r="A18" s="43">
        <v>5</v>
      </c>
      <c r="B18" s="43" t="s">
        <v>34</v>
      </c>
      <c r="C18" s="43" t="s">
        <v>154</v>
      </c>
      <c r="D18" s="43">
        <v>22</v>
      </c>
      <c r="E18" s="44">
        <v>340.4</v>
      </c>
      <c r="F18" s="44">
        <v>125.8</v>
      </c>
      <c r="G18" s="27" t="s">
        <v>140</v>
      </c>
      <c r="H18" s="27">
        <v>3.2</v>
      </c>
      <c r="I18" s="12">
        <v>8</v>
      </c>
      <c r="J18" s="12">
        <v>8</v>
      </c>
      <c r="K18" s="12">
        <v>8</v>
      </c>
      <c r="L18" s="12">
        <v>7.5</v>
      </c>
      <c r="M18" s="12">
        <v>8</v>
      </c>
      <c r="N18" s="12">
        <v>8</v>
      </c>
      <c r="O18" s="12">
        <v>7.5</v>
      </c>
      <c r="P18" s="12">
        <v>76.8</v>
      </c>
      <c r="Q18" s="11">
        <v>76.8</v>
      </c>
      <c r="R18" s="28">
        <v>3</v>
      </c>
      <c r="S18" s="29">
        <v>3</v>
      </c>
      <c r="T18" s="12">
        <v>5.7</v>
      </c>
      <c r="U18" s="27" t="s">
        <v>138</v>
      </c>
      <c r="V18" s="27">
        <v>3.2</v>
      </c>
      <c r="W18" s="12">
        <v>6.5</v>
      </c>
      <c r="X18" s="12">
        <v>6.5</v>
      </c>
      <c r="Y18" s="12">
        <v>7</v>
      </c>
      <c r="Z18" s="12">
        <v>7</v>
      </c>
      <c r="AA18" s="12">
        <v>7.5</v>
      </c>
      <c r="AB18" s="12">
        <v>7</v>
      </c>
      <c r="AC18" s="12">
        <v>6.5</v>
      </c>
      <c r="AD18" s="12">
        <v>65.599999999999994</v>
      </c>
      <c r="AE18" s="11">
        <v>142.4</v>
      </c>
      <c r="AF18" s="28">
        <v>6</v>
      </c>
      <c r="AG18" s="29">
        <v>4</v>
      </c>
      <c r="AH18" s="12">
        <v>36.1</v>
      </c>
      <c r="AI18" s="27" t="s">
        <v>139</v>
      </c>
      <c r="AJ18" s="27">
        <v>3.3</v>
      </c>
      <c r="AK18" s="12">
        <v>6</v>
      </c>
      <c r="AL18" s="12">
        <v>6</v>
      </c>
      <c r="AM18" s="12">
        <v>5.5</v>
      </c>
      <c r="AN18" s="12">
        <v>5.5</v>
      </c>
      <c r="AO18" s="12">
        <v>5.5</v>
      </c>
      <c r="AP18" s="12">
        <v>5</v>
      </c>
      <c r="AQ18" s="12">
        <v>6</v>
      </c>
      <c r="AR18" s="12">
        <v>56.1</v>
      </c>
      <c r="AS18" s="11">
        <v>198.5</v>
      </c>
      <c r="AT18" s="28">
        <v>10</v>
      </c>
      <c r="AU18" s="29">
        <v>5</v>
      </c>
      <c r="AV18" s="12">
        <v>75.7</v>
      </c>
      <c r="AW18" s="27" t="s">
        <v>7</v>
      </c>
      <c r="AX18" s="27">
        <v>3</v>
      </c>
      <c r="AY18" s="12">
        <v>9</v>
      </c>
      <c r="AZ18" s="12">
        <v>9</v>
      </c>
      <c r="BA18" s="12">
        <v>9</v>
      </c>
      <c r="BB18" s="12">
        <v>9</v>
      </c>
      <c r="BC18" s="12">
        <v>8.5</v>
      </c>
      <c r="BD18" s="12">
        <v>8.5</v>
      </c>
      <c r="BE18" s="12">
        <v>8</v>
      </c>
      <c r="BF18" s="12">
        <v>79.5</v>
      </c>
      <c r="BG18" s="11">
        <v>278</v>
      </c>
      <c r="BH18" s="28">
        <v>3</v>
      </c>
      <c r="BI18" s="29">
        <v>5</v>
      </c>
      <c r="BJ18" s="12">
        <v>92.2</v>
      </c>
      <c r="BK18" s="27" t="s">
        <v>137</v>
      </c>
      <c r="BL18" s="27">
        <v>3.2</v>
      </c>
      <c r="BM18" s="12">
        <v>6.5</v>
      </c>
      <c r="BN18" s="12">
        <v>6.5</v>
      </c>
      <c r="BO18" s="12">
        <v>6.5</v>
      </c>
      <c r="BP18" s="12">
        <v>6.5</v>
      </c>
      <c r="BQ18" s="12">
        <v>7.5</v>
      </c>
      <c r="BR18" s="12">
        <v>7</v>
      </c>
      <c r="BS18" s="12">
        <v>6</v>
      </c>
      <c r="BT18" s="12">
        <v>62.4</v>
      </c>
      <c r="BU18" s="11">
        <v>340.4</v>
      </c>
      <c r="BV18" s="28">
        <v>10</v>
      </c>
      <c r="BW18" s="29">
        <v>5</v>
      </c>
      <c r="BX18" s="12">
        <v>125.8</v>
      </c>
      <c r="BY18" s="43">
        <v>2020</v>
      </c>
      <c r="BZ18" s="43" t="s">
        <v>9</v>
      </c>
      <c r="CA18" s="43" t="s">
        <v>141</v>
      </c>
    </row>
    <row r="19" spans="1:79" x14ac:dyDescent="0.35">
      <c r="A19" s="43">
        <v>6</v>
      </c>
      <c r="B19" s="43" t="s">
        <v>18</v>
      </c>
      <c r="C19" s="43" t="s">
        <v>149</v>
      </c>
      <c r="D19" s="43">
        <v>24</v>
      </c>
      <c r="E19" s="44">
        <v>322.05</v>
      </c>
      <c r="F19" s="44">
        <v>144.15</v>
      </c>
      <c r="G19" s="27" t="s">
        <v>7</v>
      </c>
      <c r="H19" s="27">
        <v>3</v>
      </c>
      <c r="I19" s="12">
        <v>7</v>
      </c>
      <c r="J19" s="12">
        <v>7.5</v>
      </c>
      <c r="K19" s="12">
        <v>8</v>
      </c>
      <c r="L19" s="12">
        <v>7</v>
      </c>
      <c r="M19" s="12">
        <v>7.5</v>
      </c>
      <c r="N19" s="12">
        <v>7.5</v>
      </c>
      <c r="O19" s="12">
        <v>7</v>
      </c>
      <c r="P19" s="12">
        <v>66</v>
      </c>
      <c r="Q19" s="11">
        <v>66</v>
      </c>
      <c r="R19" s="28">
        <v>6</v>
      </c>
      <c r="S19" s="29">
        <v>6</v>
      </c>
      <c r="T19" s="12">
        <v>16.5</v>
      </c>
      <c r="U19" s="27" t="s">
        <v>138</v>
      </c>
      <c r="V19" s="27">
        <v>3.2</v>
      </c>
      <c r="W19" s="12">
        <v>6</v>
      </c>
      <c r="X19" s="12">
        <v>6.5</v>
      </c>
      <c r="Y19" s="12">
        <v>6</v>
      </c>
      <c r="Z19" s="12">
        <v>6</v>
      </c>
      <c r="AA19" s="12">
        <v>6</v>
      </c>
      <c r="AB19" s="12">
        <v>5.5</v>
      </c>
      <c r="AC19" s="12">
        <v>6.5</v>
      </c>
      <c r="AD19" s="12">
        <v>57.6</v>
      </c>
      <c r="AE19" s="11">
        <v>123.6</v>
      </c>
      <c r="AF19" s="28">
        <v>10</v>
      </c>
      <c r="AG19" s="29">
        <v>7</v>
      </c>
      <c r="AH19" s="12">
        <v>54.9</v>
      </c>
      <c r="AI19" s="27" t="s">
        <v>139</v>
      </c>
      <c r="AJ19" s="27">
        <v>3.3</v>
      </c>
      <c r="AK19" s="12">
        <v>5.5</v>
      </c>
      <c r="AL19" s="12">
        <v>4.5</v>
      </c>
      <c r="AM19" s="12">
        <v>5.5</v>
      </c>
      <c r="AN19" s="12">
        <v>5.5</v>
      </c>
      <c r="AO19" s="12">
        <v>5.5</v>
      </c>
      <c r="AP19" s="12">
        <v>5.5</v>
      </c>
      <c r="AQ19" s="12">
        <v>5</v>
      </c>
      <c r="AR19" s="12">
        <v>54.45</v>
      </c>
      <c r="AS19" s="11">
        <v>178.05</v>
      </c>
      <c r="AT19" s="28">
        <v>11</v>
      </c>
      <c r="AU19" s="29">
        <v>8</v>
      </c>
      <c r="AV19" s="12">
        <v>96.15</v>
      </c>
      <c r="AW19" s="27" t="s">
        <v>137</v>
      </c>
      <c r="AX19" s="27">
        <v>3.2</v>
      </c>
      <c r="AY19" s="12">
        <v>8</v>
      </c>
      <c r="AZ19" s="12">
        <v>7.5</v>
      </c>
      <c r="BA19" s="12">
        <v>7.5</v>
      </c>
      <c r="BB19" s="12">
        <v>8</v>
      </c>
      <c r="BC19" s="12">
        <v>8</v>
      </c>
      <c r="BD19" s="12">
        <v>8</v>
      </c>
      <c r="BE19" s="12">
        <v>7.5</v>
      </c>
      <c r="BF19" s="12">
        <v>75.2</v>
      </c>
      <c r="BG19" s="11">
        <v>253.25</v>
      </c>
      <c r="BH19" s="28">
        <v>4</v>
      </c>
      <c r="BI19" s="29">
        <v>6</v>
      </c>
      <c r="BJ19" s="12">
        <v>116.95</v>
      </c>
      <c r="BK19" s="27" t="s">
        <v>140</v>
      </c>
      <c r="BL19" s="27">
        <v>3.2</v>
      </c>
      <c r="BM19" s="12">
        <v>7.5</v>
      </c>
      <c r="BN19" s="12">
        <v>7</v>
      </c>
      <c r="BO19" s="12">
        <v>7</v>
      </c>
      <c r="BP19" s="12">
        <v>7</v>
      </c>
      <c r="BQ19" s="12">
        <v>8</v>
      </c>
      <c r="BR19" s="12">
        <v>7</v>
      </c>
      <c r="BS19" s="12">
        <v>7.5</v>
      </c>
      <c r="BT19" s="12">
        <v>68.8</v>
      </c>
      <c r="BU19" s="11">
        <v>322.05</v>
      </c>
      <c r="BV19" s="28">
        <v>6</v>
      </c>
      <c r="BW19" s="29">
        <v>6</v>
      </c>
      <c r="BX19" s="12">
        <v>144.15</v>
      </c>
      <c r="BY19" s="43">
        <v>2020</v>
      </c>
      <c r="BZ19" s="43" t="s">
        <v>9</v>
      </c>
      <c r="CA19" s="43" t="s">
        <v>141</v>
      </c>
    </row>
    <row r="20" spans="1:79" x14ac:dyDescent="0.35">
      <c r="A20" s="43">
        <v>7</v>
      </c>
      <c r="B20" s="43" t="s">
        <v>17</v>
      </c>
      <c r="C20" s="43" t="s">
        <v>147</v>
      </c>
      <c r="D20" s="43">
        <v>16</v>
      </c>
      <c r="E20" s="44">
        <v>305.5</v>
      </c>
      <c r="F20" s="44">
        <v>160.69999999999999</v>
      </c>
      <c r="G20" s="27" t="s">
        <v>7</v>
      </c>
      <c r="H20" s="27">
        <v>3</v>
      </c>
      <c r="I20" s="12">
        <v>6.5</v>
      </c>
      <c r="J20" s="12">
        <v>6.5</v>
      </c>
      <c r="K20" s="12">
        <v>7</v>
      </c>
      <c r="L20" s="12">
        <v>6.5</v>
      </c>
      <c r="M20" s="12">
        <v>6</v>
      </c>
      <c r="N20" s="12">
        <v>6.5</v>
      </c>
      <c r="O20" s="12">
        <v>5.5</v>
      </c>
      <c r="P20" s="12">
        <v>58.5</v>
      </c>
      <c r="Q20" s="11">
        <v>58.5</v>
      </c>
      <c r="R20" s="28">
        <v>9</v>
      </c>
      <c r="S20" s="29">
        <v>9</v>
      </c>
      <c r="T20" s="12">
        <v>24</v>
      </c>
      <c r="U20" s="27" t="s">
        <v>137</v>
      </c>
      <c r="V20" s="27">
        <v>3.2</v>
      </c>
      <c r="W20" s="12">
        <v>7</v>
      </c>
      <c r="X20" s="12">
        <v>6</v>
      </c>
      <c r="Y20" s="12">
        <v>6.5</v>
      </c>
      <c r="Z20" s="12">
        <v>6.5</v>
      </c>
      <c r="AA20" s="12">
        <v>6</v>
      </c>
      <c r="AB20" s="12">
        <v>6.5</v>
      </c>
      <c r="AC20" s="12">
        <v>6</v>
      </c>
      <c r="AD20" s="12">
        <v>60.8</v>
      </c>
      <c r="AE20" s="11">
        <v>119.3</v>
      </c>
      <c r="AF20" s="28">
        <v>8</v>
      </c>
      <c r="AG20" s="29">
        <v>8</v>
      </c>
      <c r="AH20" s="12">
        <v>59.2</v>
      </c>
      <c r="AI20" s="27" t="s">
        <v>23</v>
      </c>
      <c r="AJ20" s="27">
        <v>2.8</v>
      </c>
      <c r="AK20" s="12">
        <v>7.5</v>
      </c>
      <c r="AL20" s="12">
        <v>7.5</v>
      </c>
      <c r="AM20" s="12">
        <v>7.5</v>
      </c>
      <c r="AN20" s="12">
        <v>7.5</v>
      </c>
      <c r="AO20" s="12">
        <v>7</v>
      </c>
      <c r="AP20" s="12">
        <v>7.5</v>
      </c>
      <c r="AQ20" s="12">
        <v>7.5</v>
      </c>
      <c r="AR20" s="12">
        <v>63</v>
      </c>
      <c r="AS20" s="11">
        <v>182.3</v>
      </c>
      <c r="AT20" s="28">
        <v>5</v>
      </c>
      <c r="AU20" s="29">
        <v>7</v>
      </c>
      <c r="AV20" s="12">
        <v>91.9</v>
      </c>
      <c r="AW20" s="27" t="s">
        <v>138</v>
      </c>
      <c r="AX20" s="27">
        <v>3.2</v>
      </c>
      <c r="AY20" s="12">
        <v>5.5</v>
      </c>
      <c r="AZ20" s="12">
        <v>5.5</v>
      </c>
      <c r="BA20" s="12">
        <v>5</v>
      </c>
      <c r="BB20" s="12">
        <v>5</v>
      </c>
      <c r="BC20" s="12">
        <v>4.5</v>
      </c>
      <c r="BD20" s="12">
        <v>6</v>
      </c>
      <c r="BE20" s="12">
        <v>6</v>
      </c>
      <c r="BF20" s="12">
        <v>51.2</v>
      </c>
      <c r="BG20" s="11">
        <v>233.5</v>
      </c>
      <c r="BH20" s="28">
        <v>10</v>
      </c>
      <c r="BI20" s="29">
        <v>7</v>
      </c>
      <c r="BJ20" s="12">
        <v>136.69999999999999</v>
      </c>
      <c r="BK20" s="27" t="s">
        <v>140</v>
      </c>
      <c r="BL20" s="27">
        <v>3.2</v>
      </c>
      <c r="BM20" s="12">
        <v>7.5</v>
      </c>
      <c r="BN20" s="12">
        <v>8</v>
      </c>
      <c r="BO20" s="12">
        <v>7.5</v>
      </c>
      <c r="BP20" s="12">
        <v>7.5</v>
      </c>
      <c r="BQ20" s="12">
        <v>8</v>
      </c>
      <c r="BR20" s="12">
        <v>7.5</v>
      </c>
      <c r="BS20" s="12">
        <v>7.5</v>
      </c>
      <c r="BT20" s="12">
        <v>72</v>
      </c>
      <c r="BU20" s="11">
        <v>305.5</v>
      </c>
      <c r="BV20" s="28">
        <v>5</v>
      </c>
      <c r="BW20" s="29">
        <v>7</v>
      </c>
      <c r="BX20" s="12">
        <v>160.69999999999999</v>
      </c>
      <c r="BY20" s="43">
        <v>2020</v>
      </c>
      <c r="BZ20" s="43" t="s">
        <v>9</v>
      </c>
      <c r="CA20" s="43" t="s">
        <v>141</v>
      </c>
    </row>
    <row r="21" spans="1:79" x14ac:dyDescent="0.35">
      <c r="A21" s="43">
        <v>8</v>
      </c>
      <c r="B21" s="43" t="s">
        <v>20</v>
      </c>
      <c r="C21" s="43" t="s">
        <v>155</v>
      </c>
      <c r="D21" s="43">
        <v>20</v>
      </c>
      <c r="E21" s="44">
        <v>291.89999999999998</v>
      </c>
      <c r="F21" s="44">
        <v>174.3</v>
      </c>
      <c r="G21" s="27" t="s">
        <v>140</v>
      </c>
      <c r="H21" s="27">
        <v>3.2</v>
      </c>
      <c r="I21" s="12">
        <v>7</v>
      </c>
      <c r="J21" s="12">
        <v>6.5</v>
      </c>
      <c r="K21" s="12">
        <v>6.5</v>
      </c>
      <c r="L21" s="12">
        <v>7.5</v>
      </c>
      <c r="M21" s="12">
        <v>7.5</v>
      </c>
      <c r="N21" s="12">
        <v>7</v>
      </c>
      <c r="O21" s="12">
        <v>7</v>
      </c>
      <c r="P21" s="12">
        <v>67.2</v>
      </c>
      <c r="Q21" s="11">
        <v>67.2</v>
      </c>
      <c r="R21" s="28">
        <v>5</v>
      </c>
      <c r="S21" s="29">
        <v>5</v>
      </c>
      <c r="T21" s="12">
        <v>15.3</v>
      </c>
      <c r="U21" s="27" t="s">
        <v>7</v>
      </c>
      <c r="V21" s="27">
        <v>3</v>
      </c>
      <c r="W21" s="12">
        <v>7</v>
      </c>
      <c r="X21" s="12">
        <v>7</v>
      </c>
      <c r="Y21" s="12">
        <v>7</v>
      </c>
      <c r="Z21" s="12">
        <v>7</v>
      </c>
      <c r="AA21" s="12">
        <v>7</v>
      </c>
      <c r="AB21" s="12">
        <v>7</v>
      </c>
      <c r="AC21" s="12">
        <v>7.5</v>
      </c>
      <c r="AD21" s="12">
        <v>63</v>
      </c>
      <c r="AE21" s="11">
        <v>130.19999999999999</v>
      </c>
      <c r="AF21" s="28">
        <v>7</v>
      </c>
      <c r="AG21" s="29">
        <v>6</v>
      </c>
      <c r="AH21" s="12">
        <v>48.3</v>
      </c>
      <c r="AI21" s="27" t="s">
        <v>5</v>
      </c>
      <c r="AJ21" s="27">
        <v>2.9</v>
      </c>
      <c r="AK21" s="12">
        <v>6.5</v>
      </c>
      <c r="AL21" s="12">
        <v>7</v>
      </c>
      <c r="AM21" s="12">
        <v>6.5</v>
      </c>
      <c r="AN21" s="12">
        <v>7</v>
      </c>
      <c r="AO21" s="12">
        <v>7</v>
      </c>
      <c r="AP21" s="12">
        <v>7</v>
      </c>
      <c r="AQ21" s="12">
        <v>7</v>
      </c>
      <c r="AR21" s="12">
        <v>60.9</v>
      </c>
      <c r="AS21" s="11">
        <v>191.1</v>
      </c>
      <c r="AT21" s="28">
        <v>7</v>
      </c>
      <c r="AU21" s="29">
        <v>6</v>
      </c>
      <c r="AV21" s="12">
        <v>83.1</v>
      </c>
      <c r="AW21" s="27" t="s">
        <v>137</v>
      </c>
      <c r="AX21" s="27">
        <v>3.2</v>
      </c>
      <c r="AY21" s="12">
        <v>4</v>
      </c>
      <c r="AZ21" s="12">
        <v>3.5</v>
      </c>
      <c r="BA21" s="12">
        <v>4</v>
      </c>
      <c r="BB21" s="12">
        <v>4</v>
      </c>
      <c r="BC21" s="12">
        <v>5.5</v>
      </c>
      <c r="BD21" s="12">
        <v>4.5</v>
      </c>
      <c r="BE21" s="12">
        <v>4.5</v>
      </c>
      <c r="BF21" s="12">
        <v>40</v>
      </c>
      <c r="BG21" s="11">
        <v>231.1</v>
      </c>
      <c r="BH21" s="28">
        <v>12</v>
      </c>
      <c r="BI21" s="29">
        <v>8</v>
      </c>
      <c r="BJ21" s="12">
        <v>139.1</v>
      </c>
      <c r="BK21" s="27" t="s">
        <v>138</v>
      </c>
      <c r="BL21" s="27">
        <v>3.2</v>
      </c>
      <c r="BM21" s="12">
        <v>6</v>
      </c>
      <c r="BN21" s="12">
        <v>6</v>
      </c>
      <c r="BO21" s="12">
        <v>5.5</v>
      </c>
      <c r="BP21" s="12">
        <v>6.5</v>
      </c>
      <c r="BQ21" s="12">
        <v>7</v>
      </c>
      <c r="BR21" s="12">
        <v>7</v>
      </c>
      <c r="BS21" s="12">
        <v>6.5</v>
      </c>
      <c r="BT21" s="12">
        <v>60.8</v>
      </c>
      <c r="BU21" s="11">
        <v>291.89999999999998</v>
      </c>
      <c r="BV21" s="28">
        <v>11</v>
      </c>
      <c r="BW21" s="29">
        <v>8</v>
      </c>
      <c r="BX21" s="12">
        <v>174.3</v>
      </c>
      <c r="BY21" s="43">
        <v>2020</v>
      </c>
      <c r="BZ21" s="43" t="s">
        <v>9</v>
      </c>
      <c r="CA21" s="43" t="s">
        <v>141</v>
      </c>
    </row>
    <row r="22" spans="1:79" x14ac:dyDescent="0.35">
      <c r="A22" s="43">
        <v>9</v>
      </c>
      <c r="B22" s="43" t="s">
        <v>17</v>
      </c>
      <c r="C22" s="43" t="s">
        <v>156</v>
      </c>
      <c r="D22" s="43">
        <v>21</v>
      </c>
      <c r="E22" s="44">
        <v>289.60000000000002</v>
      </c>
      <c r="F22" s="44">
        <v>176.6</v>
      </c>
      <c r="G22" s="27" t="s">
        <v>7</v>
      </c>
      <c r="H22" s="27">
        <v>3</v>
      </c>
      <c r="I22" s="12">
        <v>7.5</v>
      </c>
      <c r="J22" s="12">
        <v>7</v>
      </c>
      <c r="K22" s="12">
        <v>7.5</v>
      </c>
      <c r="L22" s="12">
        <v>7</v>
      </c>
      <c r="M22" s="12">
        <v>7</v>
      </c>
      <c r="N22" s="12">
        <v>7</v>
      </c>
      <c r="O22" s="12">
        <v>7</v>
      </c>
      <c r="P22" s="12">
        <v>63</v>
      </c>
      <c r="Q22" s="11">
        <v>63</v>
      </c>
      <c r="R22" s="28">
        <v>8</v>
      </c>
      <c r="S22" s="29">
        <v>8</v>
      </c>
      <c r="T22" s="12">
        <v>19.5</v>
      </c>
      <c r="U22" s="27" t="s">
        <v>23</v>
      </c>
      <c r="V22" s="27">
        <v>2.8</v>
      </c>
      <c r="W22" s="12">
        <v>4.5</v>
      </c>
      <c r="X22" s="12">
        <v>4.5</v>
      </c>
      <c r="Y22" s="12">
        <v>4</v>
      </c>
      <c r="Z22" s="12">
        <v>4.5</v>
      </c>
      <c r="AA22" s="12">
        <v>4.5</v>
      </c>
      <c r="AB22" s="12">
        <v>4.5</v>
      </c>
      <c r="AC22" s="12">
        <v>5</v>
      </c>
      <c r="AD22" s="12">
        <v>37.799999999999997</v>
      </c>
      <c r="AE22" s="11">
        <v>100.8</v>
      </c>
      <c r="AF22" s="28">
        <v>12</v>
      </c>
      <c r="AG22" s="29">
        <v>10</v>
      </c>
      <c r="AH22" s="12">
        <v>77.7</v>
      </c>
      <c r="AI22" s="27" t="s">
        <v>138</v>
      </c>
      <c r="AJ22" s="27">
        <v>3.2</v>
      </c>
      <c r="AK22" s="12">
        <v>7</v>
      </c>
      <c r="AL22" s="12">
        <v>6.5</v>
      </c>
      <c r="AM22" s="12">
        <v>6.5</v>
      </c>
      <c r="AN22" s="12">
        <v>6.5</v>
      </c>
      <c r="AO22" s="12">
        <v>5.5</v>
      </c>
      <c r="AP22" s="12">
        <v>6</v>
      </c>
      <c r="AQ22" s="12">
        <v>6.5</v>
      </c>
      <c r="AR22" s="12">
        <v>62.4</v>
      </c>
      <c r="AS22" s="11">
        <v>163.19999999999999</v>
      </c>
      <c r="AT22" s="28">
        <v>6</v>
      </c>
      <c r="AU22" s="29">
        <v>9</v>
      </c>
      <c r="AV22" s="12">
        <v>111</v>
      </c>
      <c r="AW22" s="27" t="s">
        <v>137</v>
      </c>
      <c r="AX22" s="27">
        <v>3.2</v>
      </c>
      <c r="AY22" s="12">
        <v>6.5</v>
      </c>
      <c r="AZ22" s="12">
        <v>6</v>
      </c>
      <c r="BA22" s="12">
        <v>6.5</v>
      </c>
      <c r="BB22" s="12">
        <v>6.5</v>
      </c>
      <c r="BC22" s="12">
        <v>6.5</v>
      </c>
      <c r="BD22" s="12">
        <v>6</v>
      </c>
      <c r="BE22" s="12">
        <v>7</v>
      </c>
      <c r="BF22" s="12">
        <v>62.4</v>
      </c>
      <c r="BG22" s="11">
        <v>225.6</v>
      </c>
      <c r="BH22" s="28">
        <v>7</v>
      </c>
      <c r="BI22" s="29">
        <v>9</v>
      </c>
      <c r="BJ22" s="12">
        <v>144.6</v>
      </c>
      <c r="BK22" s="27" t="s">
        <v>140</v>
      </c>
      <c r="BL22" s="27">
        <v>3.2</v>
      </c>
      <c r="BM22" s="12">
        <v>6.5</v>
      </c>
      <c r="BN22" s="12">
        <v>6.5</v>
      </c>
      <c r="BO22" s="12">
        <v>7</v>
      </c>
      <c r="BP22" s="12">
        <v>6.5</v>
      </c>
      <c r="BQ22" s="12">
        <v>6.5</v>
      </c>
      <c r="BR22" s="12">
        <v>7</v>
      </c>
      <c r="BS22" s="12">
        <v>7.5</v>
      </c>
      <c r="BT22" s="12">
        <v>64</v>
      </c>
      <c r="BU22" s="11">
        <v>289.60000000000002</v>
      </c>
      <c r="BV22" s="28">
        <v>9</v>
      </c>
      <c r="BW22" s="29">
        <v>9</v>
      </c>
      <c r="BX22" s="12">
        <v>176.6</v>
      </c>
      <c r="BY22" s="43">
        <v>2020</v>
      </c>
      <c r="BZ22" s="43" t="s">
        <v>9</v>
      </c>
      <c r="CA22" s="43" t="s">
        <v>141</v>
      </c>
    </row>
    <row r="23" spans="1:79" x14ac:dyDescent="0.35">
      <c r="A23" s="43">
        <v>10</v>
      </c>
      <c r="B23" s="43" t="s">
        <v>37</v>
      </c>
      <c r="C23" s="43" t="s">
        <v>157</v>
      </c>
      <c r="D23" s="43">
        <v>28</v>
      </c>
      <c r="E23" s="44">
        <v>287.7</v>
      </c>
      <c r="F23" s="44">
        <v>178.5</v>
      </c>
      <c r="G23" s="27" t="s">
        <v>4</v>
      </c>
      <c r="H23" s="27">
        <v>2.8</v>
      </c>
      <c r="I23" s="12">
        <v>6</v>
      </c>
      <c r="J23" s="12">
        <v>6.5</v>
      </c>
      <c r="K23" s="12">
        <v>6</v>
      </c>
      <c r="L23" s="12">
        <v>6</v>
      </c>
      <c r="M23" s="12">
        <v>6.5</v>
      </c>
      <c r="N23" s="12">
        <v>6</v>
      </c>
      <c r="O23" s="12">
        <v>6</v>
      </c>
      <c r="P23" s="12">
        <v>50.4</v>
      </c>
      <c r="Q23" s="11">
        <v>50.4</v>
      </c>
      <c r="R23" s="28">
        <v>10</v>
      </c>
      <c r="S23" s="29">
        <v>10</v>
      </c>
      <c r="T23" s="12">
        <v>32.1</v>
      </c>
      <c r="U23" s="27" t="s">
        <v>5</v>
      </c>
      <c r="V23" s="27">
        <v>2.9</v>
      </c>
      <c r="W23" s="12">
        <v>6</v>
      </c>
      <c r="X23" s="12">
        <v>6</v>
      </c>
      <c r="Y23" s="12">
        <v>5.5</v>
      </c>
      <c r="Z23" s="12">
        <v>5</v>
      </c>
      <c r="AA23" s="12">
        <v>5.5</v>
      </c>
      <c r="AB23" s="12">
        <v>6</v>
      </c>
      <c r="AC23" s="12">
        <v>4.5</v>
      </c>
      <c r="AD23" s="12">
        <v>49.3</v>
      </c>
      <c r="AE23" s="11">
        <v>99.7</v>
      </c>
      <c r="AF23" s="28">
        <v>11</v>
      </c>
      <c r="AG23" s="29">
        <v>11</v>
      </c>
      <c r="AH23" s="12">
        <v>78.8</v>
      </c>
      <c r="AI23" s="27" t="s">
        <v>138</v>
      </c>
      <c r="AJ23" s="27">
        <v>3.2</v>
      </c>
      <c r="AK23" s="12">
        <v>6</v>
      </c>
      <c r="AL23" s="12">
        <v>6</v>
      </c>
      <c r="AM23" s="12">
        <v>6</v>
      </c>
      <c r="AN23" s="12">
        <v>6.5</v>
      </c>
      <c r="AO23" s="12">
        <v>6.5</v>
      </c>
      <c r="AP23" s="12">
        <v>7</v>
      </c>
      <c r="AQ23" s="12">
        <v>7</v>
      </c>
      <c r="AR23" s="12">
        <v>60.8</v>
      </c>
      <c r="AS23" s="11">
        <v>160.5</v>
      </c>
      <c r="AT23" s="28">
        <f>8</f>
        <v>8</v>
      </c>
      <c r="AU23" s="29">
        <v>10</v>
      </c>
      <c r="AV23" s="12">
        <v>113.7</v>
      </c>
      <c r="AW23" s="27" t="s">
        <v>7</v>
      </c>
      <c r="AX23" s="27">
        <v>3</v>
      </c>
      <c r="AY23" s="12">
        <v>6.5</v>
      </c>
      <c r="AZ23" s="12">
        <v>7</v>
      </c>
      <c r="BA23" s="12">
        <v>6.5</v>
      </c>
      <c r="BB23" s="12">
        <v>6.5</v>
      </c>
      <c r="BC23" s="12">
        <v>6</v>
      </c>
      <c r="BD23" s="12">
        <v>7</v>
      </c>
      <c r="BE23" s="12">
        <v>7</v>
      </c>
      <c r="BF23" s="12">
        <v>60</v>
      </c>
      <c r="BG23" s="11">
        <v>220.5</v>
      </c>
      <c r="BH23" s="28">
        <v>8</v>
      </c>
      <c r="BI23" s="29">
        <v>10</v>
      </c>
      <c r="BJ23" s="12">
        <v>149.69999999999999</v>
      </c>
      <c r="BK23" s="27" t="s">
        <v>140</v>
      </c>
      <c r="BL23" s="27">
        <v>3.2</v>
      </c>
      <c r="BM23" s="12">
        <v>6</v>
      </c>
      <c r="BN23" s="12">
        <v>7</v>
      </c>
      <c r="BO23" s="12">
        <v>7</v>
      </c>
      <c r="BP23" s="12">
        <v>6</v>
      </c>
      <c r="BQ23" s="12">
        <v>7</v>
      </c>
      <c r="BR23" s="12">
        <v>7</v>
      </c>
      <c r="BS23" s="12">
        <v>7</v>
      </c>
      <c r="BT23" s="12">
        <v>67.2</v>
      </c>
      <c r="BU23" s="11">
        <v>287.7</v>
      </c>
      <c r="BV23" s="28">
        <v>7</v>
      </c>
      <c r="BW23" s="29">
        <v>10</v>
      </c>
      <c r="BX23" s="12">
        <v>178.5</v>
      </c>
      <c r="BY23" s="43">
        <v>2020</v>
      </c>
      <c r="BZ23" s="43" t="s">
        <v>9</v>
      </c>
      <c r="CA23" s="43" t="s">
        <v>141</v>
      </c>
    </row>
    <row r="24" spans="1:79" x14ac:dyDescent="0.35">
      <c r="A24" s="43">
        <v>11</v>
      </c>
      <c r="B24" s="43" t="s">
        <v>45</v>
      </c>
      <c r="C24" s="43" t="s">
        <v>158</v>
      </c>
      <c r="D24" s="43">
        <v>23</v>
      </c>
      <c r="E24" s="44">
        <v>263</v>
      </c>
      <c r="F24" s="44">
        <v>203.2</v>
      </c>
      <c r="G24" s="27" t="s">
        <v>7</v>
      </c>
      <c r="H24" s="27">
        <v>3</v>
      </c>
      <c r="I24" s="12">
        <v>5.5</v>
      </c>
      <c r="J24" s="12">
        <v>5.5</v>
      </c>
      <c r="K24" s="12">
        <v>5.5</v>
      </c>
      <c r="L24" s="12">
        <v>5</v>
      </c>
      <c r="M24" s="12">
        <v>4.5</v>
      </c>
      <c r="N24" s="12">
        <v>4.5</v>
      </c>
      <c r="O24" s="12">
        <v>5</v>
      </c>
      <c r="P24" s="12">
        <v>46.5</v>
      </c>
      <c r="Q24" s="11">
        <v>46.5</v>
      </c>
      <c r="R24" s="28">
        <v>11</v>
      </c>
      <c r="S24" s="29">
        <v>11</v>
      </c>
      <c r="T24" s="12">
        <v>36</v>
      </c>
      <c r="U24" s="27" t="s">
        <v>139</v>
      </c>
      <c r="V24" s="27">
        <v>3.3</v>
      </c>
      <c r="W24" s="12">
        <v>6</v>
      </c>
      <c r="X24" s="12">
        <v>5.5</v>
      </c>
      <c r="Y24" s="12">
        <v>5.5</v>
      </c>
      <c r="Z24" s="12">
        <v>5.5</v>
      </c>
      <c r="AA24" s="12">
        <v>6</v>
      </c>
      <c r="AB24" s="12">
        <v>6</v>
      </c>
      <c r="AC24" s="12">
        <v>6</v>
      </c>
      <c r="AD24" s="12">
        <v>57.75</v>
      </c>
      <c r="AE24" s="11">
        <v>104.25</v>
      </c>
      <c r="AF24" s="28">
        <v>9</v>
      </c>
      <c r="AG24" s="29">
        <v>9</v>
      </c>
      <c r="AH24" s="12">
        <v>74.25</v>
      </c>
      <c r="AI24" s="27" t="s">
        <v>137</v>
      </c>
      <c r="AJ24" s="27">
        <v>3.2</v>
      </c>
      <c r="AK24" s="12">
        <v>5</v>
      </c>
      <c r="AL24" s="12">
        <v>4.5</v>
      </c>
      <c r="AM24" s="12">
        <v>4.5</v>
      </c>
      <c r="AN24" s="12">
        <v>4.5</v>
      </c>
      <c r="AO24" s="12">
        <v>5.5</v>
      </c>
      <c r="AP24" s="12">
        <v>5</v>
      </c>
      <c r="AQ24" s="12">
        <v>3.5</v>
      </c>
      <c r="AR24" s="12">
        <v>44.8</v>
      </c>
      <c r="AS24" s="11">
        <v>149.05000000000001</v>
      </c>
      <c r="AT24" s="28">
        <v>12</v>
      </c>
      <c r="AU24" s="29">
        <v>12</v>
      </c>
      <c r="AV24" s="12">
        <v>125.15</v>
      </c>
      <c r="AW24" s="27" t="s">
        <v>140</v>
      </c>
      <c r="AX24" s="27">
        <v>3.2</v>
      </c>
      <c r="AY24" s="12">
        <v>6</v>
      </c>
      <c r="AZ24" s="12">
        <v>5</v>
      </c>
      <c r="BA24" s="12">
        <v>5.5</v>
      </c>
      <c r="BB24" s="12">
        <v>4.5</v>
      </c>
      <c r="BC24" s="12">
        <v>5</v>
      </c>
      <c r="BD24" s="12">
        <v>5</v>
      </c>
      <c r="BE24" s="12">
        <v>6.5</v>
      </c>
      <c r="BF24" s="12">
        <v>49.6</v>
      </c>
      <c r="BG24" s="11">
        <v>198.65</v>
      </c>
      <c r="BH24" s="28">
        <v>11</v>
      </c>
      <c r="BI24" s="29">
        <v>12</v>
      </c>
      <c r="BJ24" s="12">
        <v>171.55</v>
      </c>
      <c r="BK24" s="27" t="s">
        <v>143</v>
      </c>
      <c r="BL24" s="27">
        <v>3.3</v>
      </c>
      <c r="BM24" s="12">
        <v>6.5</v>
      </c>
      <c r="BN24" s="12">
        <v>7</v>
      </c>
      <c r="BO24" s="12">
        <v>6.5</v>
      </c>
      <c r="BP24" s="12">
        <v>7</v>
      </c>
      <c r="BQ24" s="12">
        <v>6</v>
      </c>
      <c r="BR24" s="12">
        <v>6.5</v>
      </c>
      <c r="BS24" s="12">
        <v>6.5</v>
      </c>
      <c r="BT24" s="12">
        <v>64.349999999999994</v>
      </c>
      <c r="BU24" s="11">
        <v>263</v>
      </c>
      <c r="BV24" s="28">
        <v>8</v>
      </c>
      <c r="BW24" s="29">
        <v>11</v>
      </c>
      <c r="BX24" s="12">
        <v>203.2</v>
      </c>
      <c r="BY24" s="43">
        <v>2020</v>
      </c>
      <c r="BZ24" s="43" t="s">
        <v>9</v>
      </c>
      <c r="CA24" s="43" t="s">
        <v>141</v>
      </c>
    </row>
    <row r="25" spans="1:79" x14ac:dyDescent="0.35">
      <c r="A25" s="43">
        <v>12</v>
      </c>
      <c r="B25" s="43" t="s">
        <v>30</v>
      </c>
      <c r="C25" s="43" t="s">
        <v>159</v>
      </c>
      <c r="D25" s="43">
        <v>28</v>
      </c>
      <c r="E25" s="44">
        <v>245.85</v>
      </c>
      <c r="F25" s="44">
        <v>220.35</v>
      </c>
      <c r="G25" s="27" t="s">
        <v>7</v>
      </c>
      <c r="H25" s="27">
        <v>3</v>
      </c>
      <c r="I25" s="12">
        <v>3</v>
      </c>
      <c r="J25" s="12">
        <v>2.5</v>
      </c>
      <c r="K25" s="12">
        <v>1.5</v>
      </c>
      <c r="L25" s="12">
        <v>2</v>
      </c>
      <c r="M25" s="12">
        <v>2</v>
      </c>
      <c r="N25" s="12">
        <v>2</v>
      </c>
      <c r="O25" s="12">
        <v>2</v>
      </c>
      <c r="P25" s="12">
        <v>18</v>
      </c>
      <c r="Q25" s="11">
        <v>18</v>
      </c>
      <c r="R25" s="28">
        <v>12</v>
      </c>
      <c r="S25" s="29">
        <v>12</v>
      </c>
      <c r="T25" s="12">
        <v>64.5</v>
      </c>
      <c r="U25" s="27" t="s">
        <v>5</v>
      </c>
      <c r="V25" s="27">
        <v>2.9</v>
      </c>
      <c r="W25" s="12">
        <v>8</v>
      </c>
      <c r="X25" s="12">
        <v>8</v>
      </c>
      <c r="Y25" s="12">
        <v>8.5</v>
      </c>
      <c r="Z25" s="12">
        <v>8.5</v>
      </c>
      <c r="AA25" s="12">
        <v>8</v>
      </c>
      <c r="AB25" s="12">
        <v>8.5</v>
      </c>
      <c r="AC25" s="12">
        <v>8</v>
      </c>
      <c r="AD25" s="12">
        <v>71.05</v>
      </c>
      <c r="AE25" s="11">
        <v>89.05</v>
      </c>
      <c r="AF25" s="28">
        <v>4</v>
      </c>
      <c r="AG25" s="29">
        <v>12</v>
      </c>
      <c r="AH25" s="12">
        <v>89.45</v>
      </c>
      <c r="AI25" s="27" t="s">
        <v>138</v>
      </c>
      <c r="AJ25" s="27">
        <v>3.2</v>
      </c>
      <c r="AK25" s="12">
        <v>7</v>
      </c>
      <c r="AL25" s="12">
        <v>5.5</v>
      </c>
      <c r="AM25" s="12">
        <v>6.5</v>
      </c>
      <c r="AN25" s="12">
        <v>6</v>
      </c>
      <c r="AO25" s="12">
        <v>6.5</v>
      </c>
      <c r="AP25" s="12">
        <v>6.5</v>
      </c>
      <c r="AQ25" s="12">
        <v>6</v>
      </c>
      <c r="AR25" s="12">
        <v>60.8</v>
      </c>
      <c r="AS25" s="11">
        <v>149.85</v>
      </c>
      <c r="AT25" s="28">
        <f>8</f>
        <v>8</v>
      </c>
      <c r="AU25" s="29">
        <v>11</v>
      </c>
      <c r="AV25" s="12">
        <v>124.35</v>
      </c>
      <c r="AW25" s="27" t="s">
        <v>137</v>
      </c>
      <c r="AX25" s="27">
        <v>3.2</v>
      </c>
      <c r="AY25" s="12">
        <v>6</v>
      </c>
      <c r="AZ25" s="12">
        <v>5.5</v>
      </c>
      <c r="BA25" s="12">
        <v>5.5</v>
      </c>
      <c r="BB25" s="12">
        <v>4.5</v>
      </c>
      <c r="BC25" s="12">
        <v>5.5</v>
      </c>
      <c r="BD25" s="12">
        <v>5.5</v>
      </c>
      <c r="BE25" s="12">
        <v>4.5</v>
      </c>
      <c r="BF25" s="12">
        <v>52.8</v>
      </c>
      <c r="BG25" s="11">
        <v>202.65</v>
      </c>
      <c r="BH25" s="28">
        <v>9</v>
      </c>
      <c r="BI25" s="29">
        <v>11</v>
      </c>
      <c r="BJ25" s="12">
        <v>167.55</v>
      </c>
      <c r="BK25" s="27" t="s">
        <v>140</v>
      </c>
      <c r="BL25" s="27">
        <v>3.2</v>
      </c>
      <c r="BM25" s="12">
        <v>4.5</v>
      </c>
      <c r="BN25" s="12">
        <v>4.5</v>
      </c>
      <c r="BO25" s="12">
        <v>4.5</v>
      </c>
      <c r="BP25" s="12">
        <v>4</v>
      </c>
      <c r="BQ25" s="12">
        <v>4.5</v>
      </c>
      <c r="BR25" s="12">
        <v>4.5</v>
      </c>
      <c r="BS25" s="12">
        <v>5.5</v>
      </c>
      <c r="BT25" s="12">
        <v>43.2</v>
      </c>
      <c r="BU25" s="11">
        <v>245.85</v>
      </c>
      <c r="BV25" s="28">
        <v>12</v>
      </c>
      <c r="BW25" s="29">
        <v>12</v>
      </c>
      <c r="BX25" s="12">
        <v>220.35</v>
      </c>
      <c r="BY25" s="43">
        <v>2020</v>
      </c>
      <c r="BZ25" s="43" t="s">
        <v>9</v>
      </c>
      <c r="CA25" s="43" t="s">
        <v>141</v>
      </c>
    </row>
    <row r="26" spans="1:79" s="2" customFormat="1" x14ac:dyDescent="0.35">
      <c r="A26" s="23">
        <v>1</v>
      </c>
      <c r="B26" s="23" t="s">
        <v>3</v>
      </c>
      <c r="C26" s="23" t="s">
        <v>160</v>
      </c>
      <c r="D26" s="23">
        <v>15</v>
      </c>
      <c r="E26" s="9">
        <v>439.25</v>
      </c>
      <c r="F26" s="9">
        <v>0</v>
      </c>
      <c r="G26" s="29" t="s">
        <v>7</v>
      </c>
      <c r="H26" s="29">
        <v>3</v>
      </c>
      <c r="I26" s="11">
        <v>8.5</v>
      </c>
      <c r="J26" s="11">
        <v>9</v>
      </c>
      <c r="K26" s="11">
        <v>9</v>
      </c>
      <c r="L26" s="11">
        <v>9</v>
      </c>
      <c r="M26" s="11">
        <v>8.5</v>
      </c>
      <c r="N26" s="11">
        <v>8.5</v>
      </c>
      <c r="O26" s="11">
        <v>8.5</v>
      </c>
      <c r="P26" s="11">
        <v>78</v>
      </c>
      <c r="Q26" s="11">
        <v>78</v>
      </c>
      <c r="R26" s="30">
        <v>4</v>
      </c>
      <c r="S26" s="29">
        <v>4</v>
      </c>
      <c r="T26" s="11">
        <v>3.6</v>
      </c>
      <c r="U26" s="29" t="s">
        <v>137</v>
      </c>
      <c r="V26" s="29">
        <v>3.2</v>
      </c>
      <c r="W26" s="11">
        <v>9</v>
      </c>
      <c r="X26" s="11">
        <v>8.5</v>
      </c>
      <c r="Y26" s="11">
        <v>9</v>
      </c>
      <c r="Z26" s="11">
        <v>9</v>
      </c>
      <c r="AA26" s="11">
        <v>8</v>
      </c>
      <c r="AB26" s="11">
        <v>8.5</v>
      </c>
      <c r="AC26" s="11">
        <v>9</v>
      </c>
      <c r="AD26" s="11">
        <v>84.8</v>
      </c>
      <c r="AE26" s="11">
        <v>162.80000000000001</v>
      </c>
      <c r="AF26" s="30">
        <v>3</v>
      </c>
      <c r="AG26" s="29">
        <v>2</v>
      </c>
      <c r="AH26" s="11">
        <v>4.5999999999999996</v>
      </c>
      <c r="AI26" s="29" t="s">
        <v>139</v>
      </c>
      <c r="AJ26" s="29">
        <v>3.3</v>
      </c>
      <c r="AK26" s="11">
        <v>9.5</v>
      </c>
      <c r="AL26" s="11">
        <v>9.5</v>
      </c>
      <c r="AM26" s="11">
        <v>9.5</v>
      </c>
      <c r="AN26" s="11">
        <v>9.5</v>
      </c>
      <c r="AO26" s="11">
        <v>9</v>
      </c>
      <c r="AP26" s="11">
        <v>9.5</v>
      </c>
      <c r="AQ26" s="11">
        <v>9.5</v>
      </c>
      <c r="AR26" s="11">
        <v>94.05</v>
      </c>
      <c r="AS26" s="11">
        <v>256.85000000000002</v>
      </c>
      <c r="AT26" s="30">
        <v>1</v>
      </c>
      <c r="AU26" s="29">
        <v>1</v>
      </c>
      <c r="AV26" s="11">
        <v>0</v>
      </c>
      <c r="AW26" s="29" t="s">
        <v>138</v>
      </c>
      <c r="AX26" s="29">
        <v>3.2</v>
      </c>
      <c r="AY26" s="11">
        <v>9.5</v>
      </c>
      <c r="AZ26" s="11">
        <v>9.5</v>
      </c>
      <c r="BA26" s="11">
        <v>10</v>
      </c>
      <c r="BB26" s="11">
        <v>9.5</v>
      </c>
      <c r="BC26" s="11">
        <v>9.5</v>
      </c>
      <c r="BD26" s="11">
        <v>10</v>
      </c>
      <c r="BE26" s="11">
        <v>9</v>
      </c>
      <c r="BF26" s="11">
        <v>91.2</v>
      </c>
      <c r="BG26" s="11">
        <v>348.05</v>
      </c>
      <c r="BH26" s="30">
        <v>1</v>
      </c>
      <c r="BI26" s="29">
        <v>1</v>
      </c>
      <c r="BJ26" s="11">
        <v>0</v>
      </c>
      <c r="BK26" s="29" t="s">
        <v>140</v>
      </c>
      <c r="BL26" s="29">
        <v>3.2</v>
      </c>
      <c r="BM26" s="11">
        <v>9.5</v>
      </c>
      <c r="BN26" s="11">
        <v>9.5</v>
      </c>
      <c r="BO26" s="11">
        <v>9.5</v>
      </c>
      <c r="BP26" s="11">
        <v>10</v>
      </c>
      <c r="BQ26" s="11">
        <v>9.5</v>
      </c>
      <c r="BR26" s="11">
        <v>9</v>
      </c>
      <c r="BS26" s="11">
        <v>9</v>
      </c>
      <c r="BT26" s="11">
        <v>91.2</v>
      </c>
      <c r="BU26" s="11">
        <v>439.25</v>
      </c>
      <c r="BV26" s="30">
        <v>1</v>
      </c>
      <c r="BW26" s="29">
        <v>1</v>
      </c>
      <c r="BX26" s="11">
        <v>0</v>
      </c>
      <c r="BY26" s="23">
        <v>2016</v>
      </c>
      <c r="BZ26" s="23" t="s">
        <v>9</v>
      </c>
      <c r="CA26" s="23" t="s">
        <v>141</v>
      </c>
    </row>
    <row r="27" spans="1:79" x14ac:dyDescent="0.35">
      <c r="A27" s="43">
        <v>2</v>
      </c>
      <c r="B27" s="43" t="s">
        <v>3</v>
      </c>
      <c r="C27" s="43" t="s">
        <v>161</v>
      </c>
      <c r="D27" s="43">
        <v>17</v>
      </c>
      <c r="E27" s="44">
        <v>419.4</v>
      </c>
      <c r="F27" s="44">
        <v>19.850000000000001</v>
      </c>
      <c r="G27" s="27" t="s">
        <v>7</v>
      </c>
      <c r="H27" s="27">
        <v>3</v>
      </c>
      <c r="I27" s="12">
        <v>9</v>
      </c>
      <c r="J27" s="12">
        <v>9</v>
      </c>
      <c r="K27" s="12">
        <v>8.5</v>
      </c>
      <c r="L27" s="12">
        <v>9</v>
      </c>
      <c r="M27" s="12">
        <v>9</v>
      </c>
      <c r="N27" s="12">
        <v>9</v>
      </c>
      <c r="O27" s="12">
        <v>9</v>
      </c>
      <c r="P27" s="12">
        <v>81</v>
      </c>
      <c r="Q27" s="11">
        <v>81</v>
      </c>
      <c r="R27" s="28">
        <f>2</f>
        <v>2</v>
      </c>
      <c r="S27" s="29">
        <f>2</f>
        <v>2</v>
      </c>
      <c r="T27" s="12">
        <v>0.6</v>
      </c>
      <c r="U27" s="27" t="s">
        <v>137</v>
      </c>
      <c r="V27" s="27">
        <v>3.2</v>
      </c>
      <c r="W27" s="12">
        <v>8.5</v>
      </c>
      <c r="X27" s="12">
        <v>9</v>
      </c>
      <c r="Y27" s="12">
        <v>9</v>
      </c>
      <c r="Z27" s="12">
        <v>9</v>
      </c>
      <c r="AA27" s="12">
        <v>9</v>
      </c>
      <c r="AB27" s="12">
        <v>9</v>
      </c>
      <c r="AC27" s="12">
        <v>9</v>
      </c>
      <c r="AD27" s="12">
        <v>86.4</v>
      </c>
      <c r="AE27" s="11">
        <v>167.4</v>
      </c>
      <c r="AF27" s="28">
        <v>1</v>
      </c>
      <c r="AG27" s="29">
        <v>0</v>
      </c>
      <c r="AH27" s="12">
        <v>3</v>
      </c>
      <c r="AI27" s="27" t="s">
        <v>138</v>
      </c>
      <c r="AJ27" s="27">
        <v>3.2</v>
      </c>
      <c r="AK27" s="12">
        <v>9.5</v>
      </c>
      <c r="AL27" s="12">
        <v>9</v>
      </c>
      <c r="AM27" s="12">
        <v>9</v>
      </c>
      <c r="AN27" s="12">
        <v>9</v>
      </c>
      <c r="AO27" s="12">
        <v>9</v>
      </c>
      <c r="AP27" s="12">
        <v>9</v>
      </c>
      <c r="AQ27" s="12">
        <v>9</v>
      </c>
      <c r="AR27" s="12">
        <v>86.4</v>
      </c>
      <c r="AS27" s="11">
        <v>253.8</v>
      </c>
      <c r="AT27" s="28">
        <v>2</v>
      </c>
      <c r="AU27" s="29">
        <v>2</v>
      </c>
      <c r="AV27" s="12">
        <v>3.05</v>
      </c>
      <c r="AW27" s="27" t="s">
        <v>139</v>
      </c>
      <c r="AX27" s="27">
        <v>3.3</v>
      </c>
      <c r="AY27" s="12">
        <v>8</v>
      </c>
      <c r="AZ27" s="12">
        <v>8</v>
      </c>
      <c r="BA27" s="12">
        <v>7.5</v>
      </c>
      <c r="BB27" s="12">
        <v>8</v>
      </c>
      <c r="BC27" s="12">
        <v>8</v>
      </c>
      <c r="BD27" s="12">
        <v>8</v>
      </c>
      <c r="BE27" s="12">
        <v>7</v>
      </c>
      <c r="BF27" s="12">
        <v>79.2</v>
      </c>
      <c r="BG27" s="11">
        <v>333</v>
      </c>
      <c r="BH27" s="28">
        <v>5</v>
      </c>
      <c r="BI27" s="29">
        <v>2</v>
      </c>
      <c r="BJ27" s="12">
        <v>15.05</v>
      </c>
      <c r="BK27" s="27" t="s">
        <v>140</v>
      </c>
      <c r="BL27" s="27">
        <v>3.2</v>
      </c>
      <c r="BM27" s="12">
        <v>9.5</v>
      </c>
      <c r="BN27" s="12">
        <v>9</v>
      </c>
      <c r="BO27" s="12">
        <v>9</v>
      </c>
      <c r="BP27" s="12">
        <v>9</v>
      </c>
      <c r="BQ27" s="12">
        <v>9</v>
      </c>
      <c r="BR27" s="12">
        <v>9</v>
      </c>
      <c r="BS27" s="12">
        <v>9.5</v>
      </c>
      <c r="BT27" s="12">
        <v>86.4</v>
      </c>
      <c r="BU27" s="11">
        <v>419.4</v>
      </c>
      <c r="BV27" s="28">
        <f>2</f>
        <v>2</v>
      </c>
      <c r="BW27" s="29">
        <v>2</v>
      </c>
      <c r="BX27" s="12">
        <v>19.850000000000001</v>
      </c>
      <c r="BY27" s="43">
        <v>2016</v>
      </c>
      <c r="BZ27" s="43" t="s">
        <v>9</v>
      </c>
      <c r="CA27" s="43" t="s">
        <v>141</v>
      </c>
    </row>
    <row r="28" spans="1:79" x14ac:dyDescent="0.35">
      <c r="A28" s="43">
        <v>3</v>
      </c>
      <c r="B28" s="43" t="s">
        <v>40</v>
      </c>
      <c r="C28" s="43" t="s">
        <v>162</v>
      </c>
      <c r="D28" s="43">
        <v>27</v>
      </c>
      <c r="E28" s="44">
        <v>389.2</v>
      </c>
      <c r="F28" s="44">
        <v>50.05</v>
      </c>
      <c r="G28" s="27" t="s">
        <v>140</v>
      </c>
      <c r="H28" s="27">
        <v>3.2</v>
      </c>
      <c r="I28" s="12">
        <v>8.5</v>
      </c>
      <c r="J28" s="12">
        <v>8.5</v>
      </c>
      <c r="K28" s="12">
        <v>8.5</v>
      </c>
      <c r="L28" s="12">
        <v>9</v>
      </c>
      <c r="M28" s="12">
        <v>8</v>
      </c>
      <c r="N28" s="12">
        <v>8</v>
      </c>
      <c r="O28" s="12">
        <v>8.5</v>
      </c>
      <c r="P28" s="12">
        <v>81.599999999999994</v>
      </c>
      <c r="Q28" s="11">
        <v>81.599999999999994</v>
      </c>
      <c r="R28" s="28">
        <v>1</v>
      </c>
      <c r="S28" s="29">
        <v>1</v>
      </c>
      <c r="T28" s="12">
        <v>0</v>
      </c>
      <c r="U28" s="27" t="s">
        <v>7</v>
      </c>
      <c r="V28" s="27">
        <v>3</v>
      </c>
      <c r="W28" s="12">
        <v>8.5</v>
      </c>
      <c r="X28" s="12">
        <v>9</v>
      </c>
      <c r="Y28" s="12">
        <v>9</v>
      </c>
      <c r="Z28" s="12">
        <v>8.5</v>
      </c>
      <c r="AA28" s="12">
        <v>8</v>
      </c>
      <c r="AB28" s="12">
        <v>8.5</v>
      </c>
      <c r="AC28" s="12">
        <v>9</v>
      </c>
      <c r="AD28" s="12">
        <v>78</v>
      </c>
      <c r="AE28" s="11">
        <v>159.6</v>
      </c>
      <c r="AF28" s="28">
        <v>5</v>
      </c>
      <c r="AG28" s="29">
        <v>4</v>
      </c>
      <c r="AH28" s="12">
        <v>7.8</v>
      </c>
      <c r="AI28" s="27" t="s">
        <v>139</v>
      </c>
      <c r="AJ28" s="27">
        <v>3.3</v>
      </c>
      <c r="AK28" s="12">
        <v>8</v>
      </c>
      <c r="AL28" s="12">
        <v>8.5</v>
      </c>
      <c r="AM28" s="12">
        <v>8</v>
      </c>
      <c r="AN28" s="12">
        <v>8.5</v>
      </c>
      <c r="AO28" s="12">
        <v>7.5</v>
      </c>
      <c r="AP28" s="12">
        <v>8</v>
      </c>
      <c r="AQ28" s="12">
        <v>8</v>
      </c>
      <c r="AR28" s="12">
        <v>79.2</v>
      </c>
      <c r="AS28" s="11">
        <v>238.8</v>
      </c>
      <c r="AT28" s="28">
        <v>4</v>
      </c>
      <c r="AU28" s="29">
        <v>3</v>
      </c>
      <c r="AV28" s="12">
        <v>18.05</v>
      </c>
      <c r="AW28" s="27" t="s">
        <v>138</v>
      </c>
      <c r="AX28" s="27">
        <v>3.2</v>
      </c>
      <c r="AY28" s="12">
        <v>8</v>
      </c>
      <c r="AZ28" s="12">
        <v>8.5</v>
      </c>
      <c r="BA28" s="12">
        <v>8.5</v>
      </c>
      <c r="BB28" s="12">
        <v>8</v>
      </c>
      <c r="BC28" s="12">
        <v>8</v>
      </c>
      <c r="BD28" s="12">
        <v>8</v>
      </c>
      <c r="BE28" s="12">
        <v>8</v>
      </c>
      <c r="BF28" s="12">
        <v>76.8</v>
      </c>
      <c r="BG28" s="11">
        <v>315.60000000000002</v>
      </c>
      <c r="BH28" s="28">
        <v>6</v>
      </c>
      <c r="BI28" s="29">
        <v>3</v>
      </c>
      <c r="BJ28" s="12">
        <v>32.450000000000003</v>
      </c>
      <c r="BK28" s="27" t="s">
        <v>137</v>
      </c>
      <c r="BL28" s="27">
        <v>3.2</v>
      </c>
      <c r="BM28" s="12">
        <v>8</v>
      </c>
      <c r="BN28" s="12">
        <v>7.5</v>
      </c>
      <c r="BO28" s="12">
        <v>7.5</v>
      </c>
      <c r="BP28" s="12">
        <v>8</v>
      </c>
      <c r="BQ28" s="12">
        <v>8</v>
      </c>
      <c r="BR28" s="12">
        <v>7.5</v>
      </c>
      <c r="BS28" s="12">
        <v>7.5</v>
      </c>
      <c r="BT28" s="12">
        <v>73.599999999999994</v>
      </c>
      <c r="BU28" s="11">
        <v>389.2</v>
      </c>
      <c r="BV28" s="28">
        <v>7</v>
      </c>
      <c r="BW28" s="29">
        <v>3</v>
      </c>
      <c r="BX28" s="12">
        <v>50.05</v>
      </c>
      <c r="BY28" s="43">
        <v>2016</v>
      </c>
      <c r="BZ28" s="43" t="s">
        <v>9</v>
      </c>
      <c r="CA28" s="43" t="s">
        <v>141</v>
      </c>
    </row>
    <row r="29" spans="1:79" x14ac:dyDescent="0.35">
      <c r="A29" s="43">
        <v>4</v>
      </c>
      <c r="B29" s="43" t="s">
        <v>18</v>
      </c>
      <c r="C29" s="43" t="s">
        <v>163</v>
      </c>
      <c r="D29" s="43">
        <v>30</v>
      </c>
      <c r="E29" s="44">
        <v>377.1</v>
      </c>
      <c r="F29" s="44">
        <v>62.15</v>
      </c>
      <c r="G29" s="27" t="s">
        <v>7</v>
      </c>
      <c r="H29" s="27">
        <v>3</v>
      </c>
      <c r="I29" s="12">
        <v>7.5</v>
      </c>
      <c r="J29" s="12">
        <v>7.5</v>
      </c>
      <c r="K29" s="12">
        <v>7.5</v>
      </c>
      <c r="L29" s="12">
        <v>7</v>
      </c>
      <c r="M29" s="12">
        <v>7</v>
      </c>
      <c r="N29" s="12">
        <v>7</v>
      </c>
      <c r="O29" s="12">
        <v>7.5</v>
      </c>
      <c r="P29" s="12">
        <v>66</v>
      </c>
      <c r="Q29" s="11">
        <v>66</v>
      </c>
      <c r="R29" s="28">
        <v>11</v>
      </c>
      <c r="S29" s="29">
        <v>11</v>
      </c>
      <c r="T29" s="12">
        <v>15.6</v>
      </c>
      <c r="U29" s="27" t="s">
        <v>139</v>
      </c>
      <c r="V29" s="27">
        <v>3.3</v>
      </c>
      <c r="W29" s="12">
        <v>7.5</v>
      </c>
      <c r="X29" s="12">
        <v>8</v>
      </c>
      <c r="Y29" s="12">
        <v>7.5</v>
      </c>
      <c r="Z29" s="12">
        <v>8</v>
      </c>
      <c r="AA29" s="12">
        <v>7.5</v>
      </c>
      <c r="AB29" s="12">
        <v>8</v>
      </c>
      <c r="AC29" s="12">
        <v>7.5</v>
      </c>
      <c r="AD29" s="12">
        <v>75.900000000000006</v>
      </c>
      <c r="AE29" s="11">
        <v>141.9</v>
      </c>
      <c r="AF29" s="28">
        <v>6</v>
      </c>
      <c r="AG29" s="29">
        <v>9</v>
      </c>
      <c r="AH29" s="12">
        <v>25.5</v>
      </c>
      <c r="AI29" s="27" t="s">
        <v>164</v>
      </c>
      <c r="AJ29" s="27">
        <v>3.4</v>
      </c>
      <c r="AK29" s="12">
        <v>8</v>
      </c>
      <c r="AL29" s="12">
        <v>8</v>
      </c>
      <c r="AM29" s="12">
        <v>8</v>
      </c>
      <c r="AN29" s="12">
        <v>8.5</v>
      </c>
      <c r="AO29" s="12">
        <v>8</v>
      </c>
      <c r="AP29" s="12">
        <v>8</v>
      </c>
      <c r="AQ29" s="12">
        <v>7.5</v>
      </c>
      <c r="AR29" s="12">
        <v>81.599999999999994</v>
      </c>
      <c r="AS29" s="11">
        <v>223.5</v>
      </c>
      <c r="AT29" s="28">
        <v>3</v>
      </c>
      <c r="AU29" s="29">
        <v>5</v>
      </c>
      <c r="AV29" s="12">
        <v>33.35</v>
      </c>
      <c r="AW29" s="27" t="s">
        <v>137</v>
      </c>
      <c r="AX29" s="27">
        <v>3.2</v>
      </c>
      <c r="AY29" s="12">
        <v>9.5</v>
      </c>
      <c r="AZ29" s="12">
        <v>8.5</v>
      </c>
      <c r="BA29" s="12">
        <v>8.5</v>
      </c>
      <c r="BB29" s="12">
        <v>8.5</v>
      </c>
      <c r="BC29" s="12">
        <v>8</v>
      </c>
      <c r="BD29" s="12">
        <v>8.5</v>
      </c>
      <c r="BE29" s="12">
        <v>8.5</v>
      </c>
      <c r="BF29" s="12">
        <v>81.599999999999994</v>
      </c>
      <c r="BG29" s="11">
        <v>305.10000000000002</v>
      </c>
      <c r="BH29" s="28">
        <f>3</f>
        <v>3</v>
      </c>
      <c r="BI29" s="29">
        <v>4</v>
      </c>
      <c r="BJ29" s="12">
        <v>42.95</v>
      </c>
      <c r="BK29" s="27" t="s">
        <v>140</v>
      </c>
      <c r="BL29" s="27">
        <v>3.2</v>
      </c>
      <c r="BM29" s="12">
        <v>7</v>
      </c>
      <c r="BN29" s="12">
        <v>7.5</v>
      </c>
      <c r="BO29" s="12">
        <v>7.5</v>
      </c>
      <c r="BP29" s="12">
        <v>8</v>
      </c>
      <c r="BQ29" s="12">
        <v>7</v>
      </c>
      <c r="BR29" s="12">
        <v>8</v>
      </c>
      <c r="BS29" s="12">
        <v>7.5</v>
      </c>
      <c r="BT29" s="12">
        <v>72</v>
      </c>
      <c r="BU29" s="11">
        <v>377.1</v>
      </c>
      <c r="BV29" s="28">
        <f>8</f>
        <v>8</v>
      </c>
      <c r="BW29" s="29">
        <v>4</v>
      </c>
      <c r="BX29" s="12">
        <v>62.15</v>
      </c>
      <c r="BY29" s="43">
        <v>2016</v>
      </c>
      <c r="BZ29" s="43" t="s">
        <v>9</v>
      </c>
      <c r="CA29" s="43" t="s">
        <v>141</v>
      </c>
    </row>
    <row r="30" spans="1:79" x14ac:dyDescent="0.35">
      <c r="A30" s="43">
        <v>5</v>
      </c>
      <c r="B30" s="43" t="s">
        <v>12</v>
      </c>
      <c r="C30" s="43" t="s">
        <v>152</v>
      </c>
      <c r="D30" s="43">
        <v>24</v>
      </c>
      <c r="E30" s="44">
        <v>368.3</v>
      </c>
      <c r="F30" s="44">
        <v>70.95</v>
      </c>
      <c r="G30" s="27" t="s">
        <v>7</v>
      </c>
      <c r="H30" s="27">
        <v>3</v>
      </c>
      <c r="I30" s="12">
        <v>8</v>
      </c>
      <c r="J30" s="12">
        <v>8</v>
      </c>
      <c r="K30" s="12">
        <v>8</v>
      </c>
      <c r="L30" s="12">
        <v>8.5</v>
      </c>
      <c r="M30" s="12">
        <v>8.5</v>
      </c>
      <c r="N30" s="12">
        <v>8.5</v>
      </c>
      <c r="O30" s="12">
        <v>8</v>
      </c>
      <c r="P30" s="12">
        <v>73.5</v>
      </c>
      <c r="Q30" s="11">
        <v>73.5</v>
      </c>
      <c r="R30" s="28">
        <v>6</v>
      </c>
      <c r="S30" s="29">
        <v>6</v>
      </c>
      <c r="T30" s="12">
        <v>8.1</v>
      </c>
      <c r="U30" s="27" t="s">
        <v>138</v>
      </c>
      <c r="V30" s="27">
        <v>3.2</v>
      </c>
      <c r="W30" s="12">
        <v>7.5</v>
      </c>
      <c r="X30" s="12">
        <v>8</v>
      </c>
      <c r="Y30" s="12">
        <v>7.5</v>
      </c>
      <c r="Z30" s="12">
        <v>8</v>
      </c>
      <c r="AA30" s="12">
        <v>7.5</v>
      </c>
      <c r="AB30" s="12">
        <v>7.5</v>
      </c>
      <c r="AC30" s="12">
        <v>7.5</v>
      </c>
      <c r="AD30" s="12">
        <v>72</v>
      </c>
      <c r="AE30" s="11">
        <v>145.5</v>
      </c>
      <c r="AF30" s="28">
        <f>8</f>
        <v>8</v>
      </c>
      <c r="AG30" s="29">
        <v>7</v>
      </c>
      <c r="AH30" s="12">
        <v>21.9</v>
      </c>
      <c r="AI30" s="27" t="s">
        <v>23</v>
      </c>
      <c r="AJ30" s="27">
        <v>2.8</v>
      </c>
      <c r="AK30" s="11">
        <v>10</v>
      </c>
      <c r="AL30" s="12">
        <v>9</v>
      </c>
      <c r="AM30" s="12">
        <v>9</v>
      </c>
      <c r="AN30" s="12">
        <v>9.5</v>
      </c>
      <c r="AO30" s="12">
        <v>8.5</v>
      </c>
      <c r="AP30" s="12">
        <v>9</v>
      </c>
      <c r="AQ30" s="12">
        <v>9</v>
      </c>
      <c r="AR30" s="12">
        <v>75.599999999999994</v>
      </c>
      <c r="AS30" s="11">
        <v>221.1</v>
      </c>
      <c r="AT30" s="28">
        <v>6</v>
      </c>
      <c r="AU30" s="29">
        <v>6</v>
      </c>
      <c r="AV30" s="12">
        <v>35.75</v>
      </c>
      <c r="AW30" s="27" t="s">
        <v>137</v>
      </c>
      <c r="AX30" s="27">
        <v>3.2</v>
      </c>
      <c r="AY30" s="12">
        <v>8</v>
      </c>
      <c r="AZ30" s="12">
        <v>8.5</v>
      </c>
      <c r="BA30" s="12">
        <v>8.5</v>
      </c>
      <c r="BB30" s="12">
        <v>8.5</v>
      </c>
      <c r="BC30" s="12">
        <v>8.5</v>
      </c>
      <c r="BD30" s="12">
        <v>8.5</v>
      </c>
      <c r="BE30" s="12">
        <v>8.5</v>
      </c>
      <c r="BF30" s="12">
        <v>81.599999999999994</v>
      </c>
      <c r="BG30" s="11">
        <v>302.7</v>
      </c>
      <c r="BH30" s="28">
        <f>3</f>
        <v>3</v>
      </c>
      <c r="BI30" s="29">
        <v>5</v>
      </c>
      <c r="BJ30" s="12">
        <v>45.35</v>
      </c>
      <c r="BK30" s="27" t="s">
        <v>140</v>
      </c>
      <c r="BL30" s="27">
        <v>3.2</v>
      </c>
      <c r="BM30" s="12">
        <v>7</v>
      </c>
      <c r="BN30" s="12">
        <v>7</v>
      </c>
      <c r="BO30" s="12">
        <v>6.5</v>
      </c>
      <c r="BP30" s="12">
        <v>7</v>
      </c>
      <c r="BQ30" s="12">
        <v>6.5</v>
      </c>
      <c r="BR30" s="12">
        <v>6</v>
      </c>
      <c r="BS30" s="12">
        <v>7</v>
      </c>
      <c r="BT30" s="12">
        <v>65.599999999999994</v>
      </c>
      <c r="BU30" s="11">
        <v>368.3</v>
      </c>
      <c r="BV30" s="28">
        <v>11</v>
      </c>
      <c r="BW30" s="29">
        <v>5</v>
      </c>
      <c r="BX30" s="12">
        <v>70.95</v>
      </c>
      <c r="BY30" s="43">
        <v>2016</v>
      </c>
      <c r="BZ30" s="43" t="s">
        <v>9</v>
      </c>
      <c r="CA30" s="43" t="s">
        <v>141</v>
      </c>
    </row>
    <row r="31" spans="1:79" x14ac:dyDescent="0.35">
      <c r="A31" s="43">
        <v>6</v>
      </c>
      <c r="B31" s="43" t="s">
        <v>40</v>
      </c>
      <c r="C31" s="43" t="s">
        <v>165</v>
      </c>
      <c r="D31" s="43">
        <v>29</v>
      </c>
      <c r="E31" s="44">
        <v>367.95</v>
      </c>
      <c r="F31" s="44">
        <v>71.3</v>
      </c>
      <c r="G31" s="27" t="s">
        <v>4</v>
      </c>
      <c r="H31" s="27">
        <v>2.8</v>
      </c>
      <c r="I31" s="12">
        <v>8</v>
      </c>
      <c r="J31" s="12">
        <v>8.5</v>
      </c>
      <c r="K31" s="12">
        <v>9</v>
      </c>
      <c r="L31" s="12">
        <v>8.5</v>
      </c>
      <c r="M31" s="12">
        <v>8.5</v>
      </c>
      <c r="N31" s="12">
        <v>8</v>
      </c>
      <c r="O31" s="12">
        <v>8.5</v>
      </c>
      <c r="P31" s="12">
        <v>71.400000000000006</v>
      </c>
      <c r="Q31" s="11">
        <v>71.400000000000006</v>
      </c>
      <c r="R31" s="28">
        <v>9</v>
      </c>
      <c r="S31" s="29">
        <v>9</v>
      </c>
      <c r="T31" s="12">
        <v>10.199999999999999</v>
      </c>
      <c r="U31" s="27" t="s">
        <v>139</v>
      </c>
      <c r="V31" s="27">
        <v>3.3</v>
      </c>
      <c r="W31" s="12">
        <v>9</v>
      </c>
      <c r="X31" s="12">
        <v>9</v>
      </c>
      <c r="Y31" s="12">
        <v>8.5</v>
      </c>
      <c r="Z31" s="12">
        <v>9</v>
      </c>
      <c r="AA31" s="12">
        <v>8.5</v>
      </c>
      <c r="AB31" s="12">
        <v>8.5</v>
      </c>
      <c r="AC31" s="12">
        <v>8.5</v>
      </c>
      <c r="AD31" s="12">
        <v>85.8</v>
      </c>
      <c r="AE31" s="11">
        <v>157.19999999999999</v>
      </c>
      <c r="AF31" s="28">
        <v>2</v>
      </c>
      <c r="AG31" s="29">
        <v>5</v>
      </c>
      <c r="AH31" s="12">
        <v>10.199999999999999</v>
      </c>
      <c r="AI31" s="27" t="s">
        <v>7</v>
      </c>
      <c r="AJ31" s="27">
        <v>3</v>
      </c>
      <c r="AK31" s="12">
        <v>8.5</v>
      </c>
      <c r="AL31" s="12">
        <v>8.5</v>
      </c>
      <c r="AM31" s="12">
        <v>8.5</v>
      </c>
      <c r="AN31" s="12">
        <v>8.5</v>
      </c>
      <c r="AO31" s="12">
        <v>7.5</v>
      </c>
      <c r="AP31" s="12">
        <v>8.5</v>
      </c>
      <c r="AQ31" s="12">
        <v>8.5</v>
      </c>
      <c r="AR31" s="12">
        <v>76.5</v>
      </c>
      <c r="AS31" s="11">
        <v>233.7</v>
      </c>
      <c r="AT31" s="28">
        <v>5</v>
      </c>
      <c r="AU31" s="29">
        <v>4</v>
      </c>
      <c r="AV31" s="12">
        <v>23.15</v>
      </c>
      <c r="AW31" s="27" t="s">
        <v>143</v>
      </c>
      <c r="AX31" s="27">
        <v>3.3</v>
      </c>
      <c r="AY31" s="12">
        <v>5</v>
      </c>
      <c r="AZ31" s="12">
        <v>5</v>
      </c>
      <c r="BA31" s="12">
        <v>4</v>
      </c>
      <c r="BB31" s="12">
        <v>4.5</v>
      </c>
      <c r="BC31" s="12">
        <v>5</v>
      </c>
      <c r="BD31" s="12">
        <v>5</v>
      </c>
      <c r="BE31" s="12">
        <v>4.5</v>
      </c>
      <c r="BF31" s="12">
        <v>47.85</v>
      </c>
      <c r="BG31" s="11">
        <v>281.55</v>
      </c>
      <c r="BH31" s="28">
        <v>12</v>
      </c>
      <c r="BI31" s="29">
        <v>6</v>
      </c>
      <c r="BJ31" s="12">
        <v>66.5</v>
      </c>
      <c r="BK31" s="27" t="s">
        <v>140</v>
      </c>
      <c r="BL31" s="27">
        <v>3.2</v>
      </c>
      <c r="BM31" s="12">
        <v>9</v>
      </c>
      <c r="BN31" s="12">
        <v>9</v>
      </c>
      <c r="BO31" s="12">
        <v>9</v>
      </c>
      <c r="BP31" s="12">
        <v>9</v>
      </c>
      <c r="BQ31" s="12">
        <v>9</v>
      </c>
      <c r="BR31" s="12">
        <v>9</v>
      </c>
      <c r="BS31" s="12">
        <v>8.5</v>
      </c>
      <c r="BT31" s="12">
        <v>86.4</v>
      </c>
      <c r="BU31" s="11">
        <v>367.95</v>
      </c>
      <c r="BV31" s="28">
        <f>2</f>
        <v>2</v>
      </c>
      <c r="BW31" s="29">
        <v>6</v>
      </c>
      <c r="BX31" s="12">
        <v>71.3</v>
      </c>
      <c r="BY31" s="43">
        <v>2016</v>
      </c>
      <c r="BZ31" s="43" t="s">
        <v>9</v>
      </c>
      <c r="CA31" s="43" t="s">
        <v>141</v>
      </c>
    </row>
    <row r="32" spans="1:79" x14ac:dyDescent="0.35">
      <c r="A32" s="43">
        <v>7</v>
      </c>
      <c r="B32" s="43" t="s">
        <v>144</v>
      </c>
      <c r="C32" s="43" t="s">
        <v>166</v>
      </c>
      <c r="D32" s="43">
        <v>24</v>
      </c>
      <c r="E32" s="44">
        <v>357.9</v>
      </c>
      <c r="F32" s="44">
        <v>81.349999999999994</v>
      </c>
      <c r="G32" s="27" t="s">
        <v>7</v>
      </c>
      <c r="H32" s="27">
        <v>3</v>
      </c>
      <c r="I32" s="12">
        <v>8</v>
      </c>
      <c r="J32" s="12">
        <v>8</v>
      </c>
      <c r="K32" s="12">
        <v>7.5</v>
      </c>
      <c r="L32" s="12">
        <v>8</v>
      </c>
      <c r="M32" s="12">
        <v>7.5</v>
      </c>
      <c r="N32" s="12">
        <v>7.5</v>
      </c>
      <c r="O32" s="12">
        <v>8</v>
      </c>
      <c r="P32" s="12">
        <v>70.5</v>
      </c>
      <c r="Q32" s="11">
        <v>70.5</v>
      </c>
      <c r="R32" s="28">
        <v>10</v>
      </c>
      <c r="S32" s="29">
        <v>10</v>
      </c>
      <c r="T32" s="12">
        <v>11.1</v>
      </c>
      <c r="U32" s="27" t="s">
        <v>137</v>
      </c>
      <c r="V32" s="27">
        <v>3.2</v>
      </c>
      <c r="W32" s="12">
        <v>7.5</v>
      </c>
      <c r="X32" s="12">
        <v>8</v>
      </c>
      <c r="Y32" s="12">
        <v>7.5</v>
      </c>
      <c r="Z32" s="12">
        <v>8</v>
      </c>
      <c r="AA32" s="12">
        <v>7.5</v>
      </c>
      <c r="AB32" s="12">
        <v>7.5</v>
      </c>
      <c r="AC32" s="12">
        <v>7.5</v>
      </c>
      <c r="AD32" s="12">
        <v>72</v>
      </c>
      <c r="AE32" s="11">
        <v>142.5</v>
      </c>
      <c r="AF32" s="28">
        <f>8</f>
        <v>8</v>
      </c>
      <c r="AG32" s="29">
        <v>8</v>
      </c>
      <c r="AH32" s="12">
        <v>24.9</v>
      </c>
      <c r="AI32" s="27" t="s">
        <v>143</v>
      </c>
      <c r="AJ32" s="27">
        <v>3.3</v>
      </c>
      <c r="AK32" s="12">
        <v>6</v>
      </c>
      <c r="AL32" s="12">
        <v>5</v>
      </c>
      <c r="AM32" s="12">
        <v>5.5</v>
      </c>
      <c r="AN32" s="12">
        <v>5</v>
      </c>
      <c r="AO32" s="12">
        <v>6</v>
      </c>
      <c r="AP32" s="12">
        <v>5.5</v>
      </c>
      <c r="AQ32" s="12">
        <v>6</v>
      </c>
      <c r="AR32" s="12">
        <v>56.1</v>
      </c>
      <c r="AS32" s="11">
        <v>198.6</v>
      </c>
      <c r="AT32" s="28">
        <v>10</v>
      </c>
      <c r="AU32" s="29">
        <v>10</v>
      </c>
      <c r="AV32" s="12">
        <v>58.25</v>
      </c>
      <c r="AW32" s="27" t="s">
        <v>139</v>
      </c>
      <c r="AX32" s="27">
        <v>3.3</v>
      </c>
      <c r="AY32" s="12">
        <v>8.5</v>
      </c>
      <c r="AZ32" s="12">
        <v>9</v>
      </c>
      <c r="BA32" s="12">
        <v>8</v>
      </c>
      <c r="BB32" s="12">
        <v>8.5</v>
      </c>
      <c r="BC32" s="12">
        <v>9</v>
      </c>
      <c r="BD32" s="12">
        <v>8</v>
      </c>
      <c r="BE32" s="12">
        <v>8</v>
      </c>
      <c r="BF32" s="12">
        <v>82.5</v>
      </c>
      <c r="BG32" s="11">
        <v>281.10000000000002</v>
      </c>
      <c r="BH32" s="28">
        <v>2</v>
      </c>
      <c r="BI32" s="29">
        <v>7</v>
      </c>
      <c r="BJ32" s="12">
        <v>66.95</v>
      </c>
      <c r="BK32" s="27" t="s">
        <v>140</v>
      </c>
      <c r="BL32" s="27">
        <v>3.2</v>
      </c>
      <c r="BM32" s="12">
        <v>8</v>
      </c>
      <c r="BN32" s="12">
        <v>8</v>
      </c>
      <c r="BO32" s="12">
        <v>8</v>
      </c>
      <c r="BP32" s="12">
        <v>8.5</v>
      </c>
      <c r="BQ32" s="12">
        <v>8.5</v>
      </c>
      <c r="BR32" s="12">
        <v>8</v>
      </c>
      <c r="BS32" s="12">
        <v>8</v>
      </c>
      <c r="BT32" s="12">
        <v>76.8</v>
      </c>
      <c r="BU32" s="11">
        <v>357.9</v>
      </c>
      <c r="BV32" s="28">
        <f>5</f>
        <v>5</v>
      </c>
      <c r="BW32" s="29">
        <v>7</v>
      </c>
      <c r="BX32" s="12">
        <v>81.349999999999994</v>
      </c>
      <c r="BY32" s="43">
        <v>2016</v>
      </c>
      <c r="BZ32" s="43" t="s">
        <v>9</v>
      </c>
      <c r="CA32" s="43" t="s">
        <v>141</v>
      </c>
    </row>
    <row r="33" spans="1:79" x14ac:dyDescent="0.35">
      <c r="A33" s="43">
        <v>8</v>
      </c>
      <c r="B33" s="43" t="s">
        <v>151</v>
      </c>
      <c r="C33" s="43" t="s">
        <v>167</v>
      </c>
      <c r="D33" s="43">
        <v>16</v>
      </c>
      <c r="E33" s="44">
        <v>356.6</v>
      </c>
      <c r="F33" s="44">
        <v>82.65</v>
      </c>
      <c r="G33" s="27" t="s">
        <v>137</v>
      </c>
      <c r="H33" s="27">
        <v>3.2</v>
      </c>
      <c r="I33" s="12">
        <v>8</v>
      </c>
      <c r="J33" s="12">
        <v>7.5</v>
      </c>
      <c r="K33" s="12">
        <v>7.5</v>
      </c>
      <c r="L33" s="12">
        <v>8</v>
      </c>
      <c r="M33" s="12">
        <v>7.5</v>
      </c>
      <c r="N33" s="12">
        <v>7.5</v>
      </c>
      <c r="O33" s="12">
        <v>8</v>
      </c>
      <c r="P33" s="12">
        <v>73.599999999999994</v>
      </c>
      <c r="Q33" s="11">
        <v>73.599999999999994</v>
      </c>
      <c r="R33" s="28">
        <v>5</v>
      </c>
      <c r="S33" s="29">
        <v>5</v>
      </c>
      <c r="T33" s="12">
        <v>8</v>
      </c>
      <c r="U33" s="27" t="s">
        <v>6</v>
      </c>
      <c r="V33" s="27">
        <v>3</v>
      </c>
      <c r="W33" s="12">
        <v>6.5</v>
      </c>
      <c r="X33" s="12">
        <v>6.5</v>
      </c>
      <c r="Y33" s="12">
        <v>6.5</v>
      </c>
      <c r="Z33" s="12">
        <v>6.5</v>
      </c>
      <c r="AA33" s="12">
        <v>6.5</v>
      </c>
      <c r="AB33" s="12">
        <v>6.5</v>
      </c>
      <c r="AC33" s="12">
        <v>7</v>
      </c>
      <c r="AD33" s="12">
        <v>58.5</v>
      </c>
      <c r="AE33" s="11">
        <v>132.1</v>
      </c>
      <c r="AF33" s="28">
        <v>11</v>
      </c>
      <c r="AG33" s="29">
        <v>10</v>
      </c>
      <c r="AH33" s="12">
        <v>35.299999999999997</v>
      </c>
      <c r="AI33" s="27" t="s">
        <v>139</v>
      </c>
      <c r="AJ33" s="27">
        <v>3.3</v>
      </c>
      <c r="AK33" s="12">
        <v>7.5</v>
      </c>
      <c r="AL33" s="12">
        <v>7</v>
      </c>
      <c r="AM33" s="12">
        <v>7</v>
      </c>
      <c r="AN33" s="12">
        <v>7</v>
      </c>
      <c r="AO33" s="12">
        <v>7</v>
      </c>
      <c r="AP33" s="12">
        <v>7.5</v>
      </c>
      <c r="AQ33" s="12">
        <v>7</v>
      </c>
      <c r="AR33" s="12">
        <v>69.3</v>
      </c>
      <c r="AS33" s="11">
        <v>201.4</v>
      </c>
      <c r="AT33" s="28">
        <v>8</v>
      </c>
      <c r="AU33" s="29">
        <v>9</v>
      </c>
      <c r="AV33" s="12">
        <v>55.45</v>
      </c>
      <c r="AW33" s="27" t="s">
        <v>7</v>
      </c>
      <c r="AX33" s="27">
        <v>3</v>
      </c>
      <c r="AY33" s="12">
        <v>8</v>
      </c>
      <c r="AZ33" s="12">
        <v>8</v>
      </c>
      <c r="BA33" s="12">
        <v>8</v>
      </c>
      <c r="BB33" s="12">
        <v>8.5</v>
      </c>
      <c r="BC33" s="12">
        <v>8.5</v>
      </c>
      <c r="BD33" s="12">
        <v>8</v>
      </c>
      <c r="BE33" s="12">
        <v>8</v>
      </c>
      <c r="BF33" s="12">
        <v>72</v>
      </c>
      <c r="BG33" s="11">
        <v>273.39999999999998</v>
      </c>
      <c r="BH33" s="28">
        <f>8</f>
        <v>8</v>
      </c>
      <c r="BI33" s="29">
        <v>8</v>
      </c>
      <c r="BJ33" s="12">
        <v>74.650000000000006</v>
      </c>
      <c r="BK33" s="27" t="s">
        <v>140</v>
      </c>
      <c r="BL33" s="27">
        <v>3.2</v>
      </c>
      <c r="BM33" s="12">
        <v>8.5</v>
      </c>
      <c r="BN33" s="12">
        <v>9</v>
      </c>
      <c r="BO33" s="12">
        <v>9</v>
      </c>
      <c r="BP33" s="12">
        <v>8.5</v>
      </c>
      <c r="BQ33" s="12">
        <v>8.5</v>
      </c>
      <c r="BR33" s="12">
        <v>8.5</v>
      </c>
      <c r="BS33" s="12">
        <v>9</v>
      </c>
      <c r="BT33" s="12">
        <v>83.2</v>
      </c>
      <c r="BU33" s="11">
        <v>356.6</v>
      </c>
      <c r="BV33" s="28">
        <v>4</v>
      </c>
      <c r="BW33" s="29">
        <v>8</v>
      </c>
      <c r="BX33" s="12">
        <v>82.65</v>
      </c>
      <c r="BY33" s="43">
        <v>2016</v>
      </c>
      <c r="BZ33" s="43" t="s">
        <v>9</v>
      </c>
      <c r="CA33" s="43" t="s">
        <v>141</v>
      </c>
    </row>
    <row r="34" spans="1:79" x14ac:dyDescent="0.35">
      <c r="A34" s="43">
        <v>9</v>
      </c>
      <c r="B34" s="43" t="s">
        <v>30</v>
      </c>
      <c r="C34" s="43" t="s">
        <v>35</v>
      </c>
      <c r="D34" s="43">
        <v>17</v>
      </c>
      <c r="E34" s="44">
        <v>338</v>
      </c>
      <c r="F34" s="44">
        <v>101.25</v>
      </c>
      <c r="G34" s="27" t="s">
        <v>7</v>
      </c>
      <c r="H34" s="27">
        <v>3</v>
      </c>
      <c r="I34" s="12">
        <v>8</v>
      </c>
      <c r="J34" s="12">
        <v>8.5</v>
      </c>
      <c r="K34" s="12">
        <v>8</v>
      </c>
      <c r="L34" s="12">
        <v>7.5</v>
      </c>
      <c r="M34" s="12">
        <v>7.5</v>
      </c>
      <c r="N34" s="12">
        <v>8</v>
      </c>
      <c r="O34" s="12">
        <v>8</v>
      </c>
      <c r="P34" s="12">
        <v>72</v>
      </c>
      <c r="Q34" s="11">
        <v>72</v>
      </c>
      <c r="R34" s="28">
        <f>7</f>
        <v>7</v>
      </c>
      <c r="S34" s="29">
        <f>7</f>
        <v>7</v>
      </c>
      <c r="T34" s="12">
        <v>9.6</v>
      </c>
      <c r="U34" s="27" t="s">
        <v>137</v>
      </c>
      <c r="V34" s="27">
        <v>3.2</v>
      </c>
      <c r="W34" s="12">
        <v>8</v>
      </c>
      <c r="X34" s="12">
        <v>8</v>
      </c>
      <c r="Y34" s="12">
        <v>7.5</v>
      </c>
      <c r="Z34" s="12">
        <v>8</v>
      </c>
      <c r="AA34" s="12">
        <v>7.5</v>
      </c>
      <c r="AB34" s="12">
        <v>7.5</v>
      </c>
      <c r="AC34" s="12">
        <v>8</v>
      </c>
      <c r="AD34" s="12">
        <v>75.2</v>
      </c>
      <c r="AE34" s="11">
        <v>147.19999999999999</v>
      </c>
      <c r="AF34" s="28">
        <v>7</v>
      </c>
      <c r="AG34" s="29">
        <v>6</v>
      </c>
      <c r="AH34" s="12">
        <v>20.2</v>
      </c>
      <c r="AI34" s="27" t="s">
        <v>143</v>
      </c>
      <c r="AJ34" s="27">
        <v>3.3</v>
      </c>
      <c r="AK34" s="12">
        <v>6.5</v>
      </c>
      <c r="AL34" s="12">
        <v>6</v>
      </c>
      <c r="AM34" s="12">
        <v>6</v>
      </c>
      <c r="AN34" s="12">
        <v>6</v>
      </c>
      <c r="AO34" s="12">
        <v>5.5</v>
      </c>
      <c r="AP34" s="12">
        <v>6</v>
      </c>
      <c r="AQ34" s="12">
        <v>6</v>
      </c>
      <c r="AR34" s="12">
        <v>59.4</v>
      </c>
      <c r="AS34" s="11">
        <v>206.6</v>
      </c>
      <c r="AT34" s="28">
        <v>9</v>
      </c>
      <c r="AU34" s="29">
        <v>7</v>
      </c>
      <c r="AV34" s="12">
        <v>50.25</v>
      </c>
      <c r="AW34" s="27" t="s">
        <v>139</v>
      </c>
      <c r="AX34" s="27">
        <v>3.3</v>
      </c>
      <c r="AY34" s="12">
        <v>6.5</v>
      </c>
      <c r="AZ34" s="12">
        <v>6.5</v>
      </c>
      <c r="BA34" s="12">
        <v>6</v>
      </c>
      <c r="BB34" s="12">
        <v>5.5</v>
      </c>
      <c r="BC34" s="12">
        <v>6</v>
      </c>
      <c r="BD34" s="12">
        <v>6</v>
      </c>
      <c r="BE34" s="12">
        <v>5.5</v>
      </c>
      <c r="BF34" s="12">
        <v>59.4</v>
      </c>
      <c r="BG34" s="11">
        <v>266</v>
      </c>
      <c r="BH34" s="28">
        <v>10</v>
      </c>
      <c r="BI34" s="29">
        <v>10</v>
      </c>
      <c r="BJ34" s="12">
        <v>82.05</v>
      </c>
      <c r="BK34" s="27" t="s">
        <v>140</v>
      </c>
      <c r="BL34" s="27">
        <v>3.2</v>
      </c>
      <c r="BM34" s="12">
        <v>7.5</v>
      </c>
      <c r="BN34" s="12">
        <v>7.5</v>
      </c>
      <c r="BO34" s="12">
        <v>7.5</v>
      </c>
      <c r="BP34" s="12">
        <v>7.5</v>
      </c>
      <c r="BQ34" s="12">
        <v>7.5</v>
      </c>
      <c r="BR34" s="12">
        <v>8</v>
      </c>
      <c r="BS34" s="12">
        <v>7.5</v>
      </c>
      <c r="BT34" s="12">
        <v>72</v>
      </c>
      <c r="BU34" s="11">
        <v>338</v>
      </c>
      <c r="BV34" s="28">
        <f>8</f>
        <v>8</v>
      </c>
      <c r="BW34" s="29">
        <v>9</v>
      </c>
      <c r="BX34" s="12">
        <v>101.25</v>
      </c>
      <c r="BY34" s="43">
        <v>2016</v>
      </c>
      <c r="BZ34" s="43" t="s">
        <v>9</v>
      </c>
      <c r="CA34" s="43" t="s">
        <v>141</v>
      </c>
    </row>
    <row r="35" spans="1:79" x14ac:dyDescent="0.35">
      <c r="A35" s="43">
        <v>10</v>
      </c>
      <c r="B35" s="43" t="s">
        <v>34</v>
      </c>
      <c r="C35" s="43" t="s">
        <v>168</v>
      </c>
      <c r="D35" s="43">
        <v>22</v>
      </c>
      <c r="E35" s="44">
        <v>334.6</v>
      </c>
      <c r="F35" s="44">
        <v>105.65</v>
      </c>
      <c r="G35" s="27" t="s">
        <v>7</v>
      </c>
      <c r="H35" s="27">
        <v>3</v>
      </c>
      <c r="I35" s="12">
        <v>9</v>
      </c>
      <c r="J35" s="12">
        <v>9</v>
      </c>
      <c r="K35" s="12">
        <v>9</v>
      </c>
      <c r="L35" s="12">
        <v>9</v>
      </c>
      <c r="M35" s="12">
        <v>9</v>
      </c>
      <c r="N35" s="12">
        <v>9</v>
      </c>
      <c r="O35" s="12">
        <v>9</v>
      </c>
      <c r="P35" s="12">
        <v>81</v>
      </c>
      <c r="Q35" s="11">
        <v>81</v>
      </c>
      <c r="R35" s="28">
        <f>2</f>
        <v>2</v>
      </c>
      <c r="S35" s="29">
        <f>2</f>
        <v>2</v>
      </c>
      <c r="T35" s="12">
        <v>0.6</v>
      </c>
      <c r="U35" s="27" t="s">
        <v>139</v>
      </c>
      <c r="V35" s="27">
        <v>3.3</v>
      </c>
      <c r="W35" s="12">
        <v>8.5</v>
      </c>
      <c r="X35" s="12">
        <v>8</v>
      </c>
      <c r="Y35" s="12">
        <v>8</v>
      </c>
      <c r="Z35" s="12">
        <v>8</v>
      </c>
      <c r="AA35" s="12">
        <v>7.5</v>
      </c>
      <c r="AB35" s="12">
        <v>8</v>
      </c>
      <c r="AC35" s="12">
        <v>8</v>
      </c>
      <c r="AD35" s="12">
        <v>79.2</v>
      </c>
      <c r="AE35" s="11">
        <v>160.19999999999999</v>
      </c>
      <c r="AF35" s="28">
        <v>4</v>
      </c>
      <c r="AG35" s="29">
        <v>3</v>
      </c>
      <c r="AH35" s="12">
        <v>7.2</v>
      </c>
      <c r="AI35" s="27" t="s">
        <v>137</v>
      </c>
      <c r="AJ35" s="27">
        <v>3.2</v>
      </c>
      <c r="AK35" s="12">
        <v>5.5</v>
      </c>
      <c r="AL35" s="12">
        <v>4.5</v>
      </c>
      <c r="AM35" s="12">
        <v>4.5</v>
      </c>
      <c r="AN35" s="12">
        <v>5</v>
      </c>
      <c r="AO35" s="12">
        <v>5.5</v>
      </c>
      <c r="AP35" s="12">
        <v>4.5</v>
      </c>
      <c r="AQ35" s="12">
        <v>4.5</v>
      </c>
      <c r="AR35" s="12">
        <v>44.8</v>
      </c>
      <c r="AS35" s="11">
        <v>205</v>
      </c>
      <c r="AT35" s="28">
        <v>12</v>
      </c>
      <c r="AU35" s="29">
        <v>8</v>
      </c>
      <c r="AV35" s="12">
        <v>51.85</v>
      </c>
      <c r="AW35" s="27" t="s">
        <v>143</v>
      </c>
      <c r="AX35" s="27">
        <v>3.3</v>
      </c>
      <c r="AY35" s="12">
        <v>6</v>
      </c>
      <c r="AZ35" s="12">
        <v>5.5</v>
      </c>
      <c r="BA35" s="12">
        <v>5</v>
      </c>
      <c r="BB35" s="12">
        <v>5.5</v>
      </c>
      <c r="BC35" s="12">
        <v>5.5</v>
      </c>
      <c r="BD35" s="12">
        <v>4.5</v>
      </c>
      <c r="BE35" s="12">
        <v>5</v>
      </c>
      <c r="BF35" s="12">
        <v>52.8</v>
      </c>
      <c r="BG35" s="11">
        <v>257.8</v>
      </c>
      <c r="BH35" s="28">
        <v>11</v>
      </c>
      <c r="BI35" s="29">
        <v>11</v>
      </c>
      <c r="BJ35" s="12">
        <v>90.25</v>
      </c>
      <c r="BK35" s="27" t="s">
        <v>140</v>
      </c>
      <c r="BL35" s="27">
        <v>3.2</v>
      </c>
      <c r="BM35" s="12">
        <v>8</v>
      </c>
      <c r="BN35" s="12">
        <v>8</v>
      </c>
      <c r="BO35" s="12">
        <v>7.5</v>
      </c>
      <c r="BP35" s="12">
        <v>8</v>
      </c>
      <c r="BQ35" s="12">
        <v>7</v>
      </c>
      <c r="BR35" s="12">
        <v>8</v>
      </c>
      <c r="BS35" s="12">
        <v>8.5</v>
      </c>
      <c r="BT35" s="12">
        <v>76.8</v>
      </c>
      <c r="BU35" s="11">
        <v>334.6</v>
      </c>
      <c r="BV35" s="28">
        <f>5</f>
        <v>5</v>
      </c>
      <c r="BW35" s="29">
        <v>10</v>
      </c>
      <c r="BX35" s="12">
        <v>104.65</v>
      </c>
      <c r="BY35" s="43">
        <v>2016</v>
      </c>
      <c r="BZ35" s="43" t="s">
        <v>9</v>
      </c>
      <c r="CA35" s="43" t="s">
        <v>141</v>
      </c>
    </row>
    <row r="36" spans="1:79" x14ac:dyDescent="0.35">
      <c r="A36" s="43">
        <v>11</v>
      </c>
      <c r="B36" s="43" t="s">
        <v>30</v>
      </c>
      <c r="C36" s="43" t="s">
        <v>159</v>
      </c>
      <c r="D36" s="43">
        <v>23</v>
      </c>
      <c r="E36" s="44">
        <v>330.45</v>
      </c>
      <c r="F36" s="44">
        <v>108.8</v>
      </c>
      <c r="G36" s="27" t="s">
        <v>7</v>
      </c>
      <c r="H36" s="27">
        <v>3</v>
      </c>
      <c r="I36" s="12">
        <v>7.5</v>
      </c>
      <c r="J36" s="12">
        <v>8</v>
      </c>
      <c r="K36" s="12">
        <v>8</v>
      </c>
      <c r="L36" s="12">
        <v>8</v>
      </c>
      <c r="M36" s="12">
        <v>8</v>
      </c>
      <c r="N36" s="12">
        <v>8</v>
      </c>
      <c r="O36" s="12">
        <v>8</v>
      </c>
      <c r="P36" s="12">
        <v>72</v>
      </c>
      <c r="Q36" s="11">
        <v>72</v>
      </c>
      <c r="R36" s="28">
        <f>7</f>
        <v>7</v>
      </c>
      <c r="S36" s="29">
        <f>7</f>
        <v>7</v>
      </c>
      <c r="T36" s="12">
        <v>9.6</v>
      </c>
      <c r="U36" s="27" t="s">
        <v>5</v>
      </c>
      <c r="V36" s="27">
        <v>2.9</v>
      </c>
      <c r="W36" s="12">
        <v>6.5</v>
      </c>
      <c r="X36" s="12">
        <v>6.5</v>
      </c>
      <c r="Y36" s="12">
        <v>6</v>
      </c>
      <c r="Z36" s="12">
        <v>6</v>
      </c>
      <c r="AA36" s="12">
        <v>6.5</v>
      </c>
      <c r="AB36" s="12">
        <v>6</v>
      </c>
      <c r="AC36" s="12">
        <v>6</v>
      </c>
      <c r="AD36" s="12">
        <v>53.65</v>
      </c>
      <c r="AE36" s="11">
        <v>125.65</v>
      </c>
      <c r="AF36" s="28">
        <v>12</v>
      </c>
      <c r="AG36" s="29">
        <v>12</v>
      </c>
      <c r="AH36" s="12">
        <v>41.75</v>
      </c>
      <c r="AI36" s="27" t="s">
        <v>138</v>
      </c>
      <c r="AJ36" s="27">
        <v>3.2</v>
      </c>
      <c r="AK36" s="12">
        <v>7.5</v>
      </c>
      <c r="AL36" s="12">
        <v>7.5</v>
      </c>
      <c r="AM36" s="12">
        <v>7.5</v>
      </c>
      <c r="AN36" s="12">
        <v>7.5</v>
      </c>
      <c r="AO36" s="12">
        <v>7.5</v>
      </c>
      <c r="AP36" s="12">
        <v>7.5</v>
      </c>
      <c r="AQ36" s="12">
        <v>8</v>
      </c>
      <c r="AR36" s="12">
        <v>72</v>
      </c>
      <c r="AS36" s="11">
        <v>197.65</v>
      </c>
      <c r="AT36" s="28">
        <v>7</v>
      </c>
      <c r="AU36" s="29">
        <v>11</v>
      </c>
      <c r="AV36" s="12">
        <v>59.2</v>
      </c>
      <c r="AW36" s="27" t="s">
        <v>137</v>
      </c>
      <c r="AX36" s="27">
        <v>3.2</v>
      </c>
      <c r="AY36" s="12">
        <v>8</v>
      </c>
      <c r="AZ36" s="12">
        <v>8</v>
      </c>
      <c r="BA36" s="12">
        <v>7</v>
      </c>
      <c r="BB36" s="12">
        <v>7.5</v>
      </c>
      <c r="BC36" s="12">
        <v>7.5</v>
      </c>
      <c r="BD36" s="12">
        <v>7</v>
      </c>
      <c r="BE36" s="12">
        <v>8</v>
      </c>
      <c r="BF36" s="12">
        <v>73.599999999999994</v>
      </c>
      <c r="BG36" s="11">
        <v>271.25</v>
      </c>
      <c r="BH36" s="28">
        <v>7</v>
      </c>
      <c r="BI36" s="29">
        <v>9</v>
      </c>
      <c r="BJ36" s="12">
        <v>76.8</v>
      </c>
      <c r="BK36" s="27" t="s">
        <v>140</v>
      </c>
      <c r="BL36" s="27">
        <v>3.2</v>
      </c>
      <c r="BM36" s="12">
        <v>5.5</v>
      </c>
      <c r="BN36" s="12">
        <v>6</v>
      </c>
      <c r="BO36" s="12">
        <v>6.5</v>
      </c>
      <c r="BP36" s="12">
        <v>6.5</v>
      </c>
      <c r="BQ36" s="12">
        <v>6.5</v>
      </c>
      <c r="BR36" s="12">
        <v>5.5</v>
      </c>
      <c r="BS36" s="12">
        <v>6</v>
      </c>
      <c r="BT36" s="12">
        <v>59.2</v>
      </c>
      <c r="BU36" s="11">
        <v>330.45</v>
      </c>
      <c r="BV36" s="28">
        <v>12</v>
      </c>
      <c r="BW36" s="29">
        <v>11</v>
      </c>
      <c r="BX36" s="12">
        <v>108.8</v>
      </c>
      <c r="BY36" s="43">
        <v>2016</v>
      </c>
      <c r="BZ36" s="43" t="s">
        <v>9</v>
      </c>
      <c r="CA36" s="43" t="s">
        <v>141</v>
      </c>
    </row>
    <row r="37" spans="1:79" x14ac:dyDescent="0.35">
      <c r="A37" s="43">
        <v>12</v>
      </c>
      <c r="B37" s="43" t="s">
        <v>17</v>
      </c>
      <c r="C37" s="43" t="s">
        <v>169</v>
      </c>
      <c r="D37" s="43">
        <v>27</v>
      </c>
      <c r="E37" s="44">
        <v>323.7</v>
      </c>
      <c r="F37" s="44">
        <v>115.55</v>
      </c>
      <c r="G37" s="27" t="s">
        <v>7</v>
      </c>
      <c r="H37" s="27">
        <v>3</v>
      </c>
      <c r="I37" s="12">
        <v>7</v>
      </c>
      <c r="J37" s="12">
        <v>8</v>
      </c>
      <c r="K37" s="12">
        <v>7</v>
      </c>
      <c r="L37" s="12">
        <v>7.5</v>
      </c>
      <c r="M37" s="12">
        <v>7</v>
      </c>
      <c r="N37" s="12">
        <v>7.5</v>
      </c>
      <c r="O37" s="12">
        <v>7</v>
      </c>
      <c r="P37" s="12">
        <v>64.5</v>
      </c>
      <c r="Q37" s="11">
        <v>64.5</v>
      </c>
      <c r="R37" s="28">
        <v>12</v>
      </c>
      <c r="S37" s="29">
        <v>12</v>
      </c>
      <c r="T37" s="12">
        <v>17.100000000000001</v>
      </c>
      <c r="U37" s="27" t="s">
        <v>138</v>
      </c>
      <c r="V37" s="27">
        <v>3.2</v>
      </c>
      <c r="W37" s="12">
        <v>7</v>
      </c>
      <c r="X37" s="12">
        <v>7</v>
      </c>
      <c r="Y37" s="12">
        <v>7</v>
      </c>
      <c r="Z37" s="12">
        <v>7</v>
      </c>
      <c r="AA37" s="12">
        <v>7</v>
      </c>
      <c r="AB37" s="12">
        <v>7.5</v>
      </c>
      <c r="AC37" s="12">
        <v>7</v>
      </c>
      <c r="AD37" s="12">
        <v>67.2</v>
      </c>
      <c r="AE37" s="11">
        <v>131.69999999999999</v>
      </c>
      <c r="AF37" s="28">
        <v>10</v>
      </c>
      <c r="AG37" s="29">
        <v>11</v>
      </c>
      <c r="AH37" s="12">
        <v>35.700000000000003</v>
      </c>
      <c r="AI37" s="27" t="s">
        <v>137</v>
      </c>
      <c r="AJ37" s="27">
        <v>3.2</v>
      </c>
      <c r="AK37" s="12">
        <v>5.5</v>
      </c>
      <c r="AL37" s="12">
        <v>5</v>
      </c>
      <c r="AM37" s="12">
        <v>5.5</v>
      </c>
      <c r="AN37" s="12">
        <v>5.5</v>
      </c>
      <c r="AO37" s="12">
        <v>6</v>
      </c>
      <c r="AP37" s="12">
        <v>5</v>
      </c>
      <c r="AQ37" s="12">
        <v>5.5</v>
      </c>
      <c r="AR37" s="12">
        <v>52.8</v>
      </c>
      <c r="AS37" s="11">
        <v>184.5</v>
      </c>
      <c r="AT37" s="28">
        <v>11</v>
      </c>
      <c r="AU37" s="29">
        <v>12</v>
      </c>
      <c r="AV37" s="12">
        <v>72.349999999999994</v>
      </c>
      <c r="AW37" s="27" t="s">
        <v>140</v>
      </c>
      <c r="AX37" s="27">
        <v>3.2</v>
      </c>
      <c r="AY37" s="12">
        <v>7.5</v>
      </c>
      <c r="AZ37" s="12">
        <v>8</v>
      </c>
      <c r="BA37" s="12">
        <v>7.5</v>
      </c>
      <c r="BB37" s="12">
        <v>7.5</v>
      </c>
      <c r="BC37" s="12">
        <v>8</v>
      </c>
      <c r="BD37" s="12">
        <v>7.5</v>
      </c>
      <c r="BE37" s="12">
        <v>7</v>
      </c>
      <c r="BF37" s="12">
        <v>72</v>
      </c>
      <c r="BG37" s="11">
        <v>256.5</v>
      </c>
      <c r="BH37" s="28">
        <f>8</f>
        <v>8</v>
      </c>
      <c r="BI37" s="29">
        <v>12</v>
      </c>
      <c r="BJ37" s="12">
        <v>91.55</v>
      </c>
      <c r="BK37" s="27" t="s">
        <v>23</v>
      </c>
      <c r="BL37" s="27">
        <v>2.8</v>
      </c>
      <c r="BM37" s="12">
        <v>8</v>
      </c>
      <c r="BN37" s="12">
        <v>8.5</v>
      </c>
      <c r="BO37" s="12">
        <v>8.5</v>
      </c>
      <c r="BP37" s="12">
        <v>8</v>
      </c>
      <c r="BQ37" s="12">
        <v>7.5</v>
      </c>
      <c r="BR37" s="12">
        <v>8</v>
      </c>
      <c r="BS37" s="12">
        <v>8</v>
      </c>
      <c r="BT37" s="12">
        <v>67.2</v>
      </c>
      <c r="BU37" s="11">
        <v>323.7</v>
      </c>
      <c r="BV37" s="28">
        <v>10</v>
      </c>
      <c r="BW37" s="29">
        <v>12</v>
      </c>
      <c r="BX37" s="12">
        <v>115.55</v>
      </c>
      <c r="BY37" s="43">
        <v>2016</v>
      </c>
      <c r="BZ37" s="43" t="s">
        <v>9</v>
      </c>
      <c r="CA37" s="43" t="s">
        <v>141</v>
      </c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2723F6-CA64-428D-BF2B-70D1FFC775EE}">
  <dimension ref="A1:CO37"/>
  <sheetViews>
    <sheetView zoomScale="68" workbookViewId="0">
      <pane xSplit="3" topLeftCell="BU1" activePane="topRight" state="frozen"/>
      <selection pane="topRight" activeCell="CC22" sqref="CC22"/>
    </sheetView>
  </sheetViews>
  <sheetFormatPr defaultRowHeight="14.5" x14ac:dyDescent="0.35"/>
  <cols>
    <col min="1" max="2" width="8.7265625" style="32"/>
    <col min="3" max="3" width="21.81640625" style="32" bestFit="1" customWidth="1"/>
    <col min="4" max="4" width="8.7265625" style="32"/>
    <col min="5" max="6" width="8.7265625" style="15"/>
    <col min="7" max="8" width="8.7265625" style="32"/>
    <col min="9" max="17" width="8.7265625" style="15"/>
    <col min="18" max="19" width="8.7265625" style="32"/>
    <col min="20" max="20" width="8.7265625" style="15"/>
    <col min="21" max="22" width="8.7265625" style="32"/>
    <col min="23" max="31" width="8.7265625" style="15"/>
    <col min="32" max="33" width="8.7265625" style="32"/>
    <col min="34" max="34" width="8.7265625" style="15"/>
    <col min="35" max="36" width="8.7265625" style="32"/>
    <col min="37" max="45" width="8.7265625" style="15"/>
    <col min="46" max="47" width="8.7265625" style="32"/>
    <col min="48" max="48" width="8.7265625" style="15"/>
    <col min="49" max="50" width="8.7265625" style="32"/>
    <col min="51" max="59" width="8.7265625" style="15"/>
    <col min="60" max="61" width="8.7265625" style="32"/>
    <col min="62" max="62" width="8.7265625" style="15"/>
    <col min="63" max="63" width="8.7265625" style="32" customWidth="1"/>
    <col min="64" max="64" width="8.7265625" style="32"/>
    <col min="65" max="73" width="8.7265625" style="15"/>
    <col min="74" max="75" width="8.7265625" style="32"/>
    <col min="76" max="76" width="8.7265625" style="15"/>
    <col min="77" max="78" width="8.7265625" style="32"/>
    <col min="79" max="87" width="8.7265625" style="15"/>
    <col min="88" max="89" width="8.7265625" style="32"/>
    <col min="90" max="90" width="8.7265625" style="15"/>
    <col min="91" max="93" width="8.7265625" style="32"/>
  </cols>
  <sheetData>
    <row r="1" spans="1:93" s="1" customFormat="1" x14ac:dyDescent="0.35">
      <c r="A1" s="22" t="s">
        <v>233</v>
      </c>
      <c r="B1" s="22" t="s">
        <v>131</v>
      </c>
      <c r="C1" s="22" t="s">
        <v>92</v>
      </c>
      <c r="D1" s="22" t="s">
        <v>93</v>
      </c>
      <c r="E1" s="6" t="s">
        <v>94</v>
      </c>
      <c r="F1" s="6" t="s">
        <v>95</v>
      </c>
      <c r="G1" s="23" t="s">
        <v>97</v>
      </c>
      <c r="H1" s="22" t="s">
        <v>104</v>
      </c>
      <c r="I1" s="6" t="s">
        <v>57</v>
      </c>
      <c r="J1" s="6" t="s">
        <v>58</v>
      </c>
      <c r="K1" s="6" t="s">
        <v>59</v>
      </c>
      <c r="L1" s="6" t="s">
        <v>60</v>
      </c>
      <c r="M1" s="6" t="s">
        <v>61</v>
      </c>
      <c r="N1" s="6" t="s">
        <v>62</v>
      </c>
      <c r="O1" s="6" t="s">
        <v>63</v>
      </c>
      <c r="P1" s="6" t="s">
        <v>96</v>
      </c>
      <c r="Q1" s="6" t="s">
        <v>98</v>
      </c>
      <c r="R1" s="22" t="s">
        <v>99</v>
      </c>
      <c r="S1" s="22" t="s">
        <v>100</v>
      </c>
      <c r="T1" s="6" t="s">
        <v>101</v>
      </c>
      <c r="U1" s="23" t="s">
        <v>102</v>
      </c>
      <c r="V1" s="22" t="s">
        <v>103</v>
      </c>
      <c r="W1" s="6" t="s">
        <v>64</v>
      </c>
      <c r="X1" s="6" t="s">
        <v>65</v>
      </c>
      <c r="Y1" s="6" t="s">
        <v>66</v>
      </c>
      <c r="Z1" s="6" t="s">
        <v>67</v>
      </c>
      <c r="AA1" s="6" t="s">
        <v>68</v>
      </c>
      <c r="AB1" s="6" t="s">
        <v>69</v>
      </c>
      <c r="AC1" s="6" t="s">
        <v>70</v>
      </c>
      <c r="AD1" s="6" t="s">
        <v>105</v>
      </c>
      <c r="AE1" s="6" t="s">
        <v>106</v>
      </c>
      <c r="AF1" s="22" t="s">
        <v>107</v>
      </c>
      <c r="AG1" s="22" t="s">
        <v>108</v>
      </c>
      <c r="AH1" s="6" t="s">
        <v>109</v>
      </c>
      <c r="AI1" s="23" t="s">
        <v>110</v>
      </c>
      <c r="AJ1" s="22" t="s">
        <v>123</v>
      </c>
      <c r="AK1" s="6" t="s">
        <v>71</v>
      </c>
      <c r="AL1" s="6" t="s">
        <v>72</v>
      </c>
      <c r="AM1" s="6" t="s">
        <v>73</v>
      </c>
      <c r="AN1" s="6" t="s">
        <v>74</v>
      </c>
      <c r="AO1" s="6" t="s">
        <v>75</v>
      </c>
      <c r="AP1" s="6" t="s">
        <v>76</v>
      </c>
      <c r="AQ1" s="6" t="s">
        <v>77</v>
      </c>
      <c r="AR1" s="6" t="s">
        <v>111</v>
      </c>
      <c r="AS1" s="6" t="s">
        <v>112</v>
      </c>
      <c r="AT1" s="22" t="s">
        <v>113</v>
      </c>
      <c r="AU1" s="22" t="s">
        <v>114</v>
      </c>
      <c r="AV1" s="6" t="s">
        <v>115</v>
      </c>
      <c r="AW1" s="23" t="s">
        <v>116</v>
      </c>
      <c r="AX1" s="22" t="s">
        <v>124</v>
      </c>
      <c r="AY1" s="6" t="s">
        <v>78</v>
      </c>
      <c r="AZ1" s="6" t="s">
        <v>79</v>
      </c>
      <c r="BA1" s="6" t="s">
        <v>80</v>
      </c>
      <c r="BB1" s="6" t="s">
        <v>81</v>
      </c>
      <c r="BC1" s="6" t="s">
        <v>82</v>
      </c>
      <c r="BD1" s="6" t="s">
        <v>83</v>
      </c>
      <c r="BE1" s="6" t="s">
        <v>84</v>
      </c>
      <c r="BF1" s="6" t="s">
        <v>117</v>
      </c>
      <c r="BG1" s="6" t="s">
        <v>118</v>
      </c>
      <c r="BH1" s="22" t="s">
        <v>119</v>
      </c>
      <c r="BI1" s="22" t="s">
        <v>120</v>
      </c>
      <c r="BJ1" s="6" t="s">
        <v>121</v>
      </c>
      <c r="BK1" s="23" t="s">
        <v>122</v>
      </c>
      <c r="BL1" s="22" t="s">
        <v>125</v>
      </c>
      <c r="BM1" s="6" t="s">
        <v>85</v>
      </c>
      <c r="BN1" s="6" t="s">
        <v>86</v>
      </c>
      <c r="BO1" s="6" t="s">
        <v>87</v>
      </c>
      <c r="BP1" s="6" t="s">
        <v>88</v>
      </c>
      <c r="BQ1" s="6" t="s">
        <v>89</v>
      </c>
      <c r="BR1" s="6" t="s">
        <v>90</v>
      </c>
      <c r="BS1" s="6" t="s">
        <v>91</v>
      </c>
      <c r="BT1" s="6" t="s">
        <v>126</v>
      </c>
      <c r="BU1" s="6" t="s">
        <v>127</v>
      </c>
      <c r="BV1" s="22" t="s">
        <v>128</v>
      </c>
      <c r="BW1" s="22" t="s">
        <v>129</v>
      </c>
      <c r="BX1" s="6" t="s">
        <v>130</v>
      </c>
      <c r="BY1" s="23" t="s">
        <v>216</v>
      </c>
      <c r="BZ1" s="22" t="s">
        <v>217</v>
      </c>
      <c r="CA1" s="6" t="s">
        <v>218</v>
      </c>
      <c r="CB1" s="6" t="s">
        <v>219</v>
      </c>
      <c r="CC1" s="6" t="s">
        <v>220</v>
      </c>
      <c r="CD1" s="6" t="s">
        <v>221</v>
      </c>
      <c r="CE1" s="6" t="s">
        <v>222</v>
      </c>
      <c r="CF1" s="6" t="s">
        <v>223</v>
      </c>
      <c r="CG1" s="6" t="s">
        <v>224</v>
      </c>
      <c r="CH1" s="6" t="s">
        <v>225</v>
      </c>
      <c r="CI1" s="6" t="s">
        <v>226</v>
      </c>
      <c r="CJ1" s="22" t="s">
        <v>227</v>
      </c>
      <c r="CK1" s="22" t="s">
        <v>228</v>
      </c>
      <c r="CL1" s="6" t="s">
        <v>229</v>
      </c>
      <c r="CM1" s="22" t="s">
        <v>0</v>
      </c>
      <c r="CN1" s="22" t="s">
        <v>1</v>
      </c>
      <c r="CO1" s="22" t="s">
        <v>2</v>
      </c>
    </row>
    <row r="2" spans="1:93" x14ac:dyDescent="0.35">
      <c r="A2" s="31">
        <v>1</v>
      </c>
      <c r="B2" s="31" t="s">
        <v>3</v>
      </c>
      <c r="C2" s="31" t="s">
        <v>190</v>
      </c>
      <c r="D2" s="31">
        <v>28</v>
      </c>
      <c r="E2" s="10">
        <v>543.6</v>
      </c>
      <c r="F2" s="15">
        <v>0</v>
      </c>
      <c r="G2" s="33" t="s">
        <v>13</v>
      </c>
      <c r="H2" s="27">
        <v>3.4</v>
      </c>
      <c r="I2" s="16">
        <v>8.5</v>
      </c>
      <c r="J2" s="16">
        <v>8.5</v>
      </c>
      <c r="K2" s="16">
        <v>8.5</v>
      </c>
      <c r="L2" s="16">
        <v>8</v>
      </c>
      <c r="M2" s="16">
        <v>8.5</v>
      </c>
      <c r="N2" s="16">
        <v>8</v>
      </c>
      <c r="O2" s="12">
        <v>8.5</v>
      </c>
      <c r="P2" s="16">
        <v>86.7</v>
      </c>
      <c r="Q2" s="17">
        <v>86.7</v>
      </c>
      <c r="R2" s="34">
        <v>1</v>
      </c>
      <c r="S2" s="35">
        <v>1</v>
      </c>
      <c r="T2" s="16">
        <v>0</v>
      </c>
      <c r="U2" s="33" t="s">
        <v>172</v>
      </c>
      <c r="V2" s="27">
        <v>3.3</v>
      </c>
      <c r="W2" s="16">
        <v>7.5</v>
      </c>
      <c r="X2" s="16">
        <v>8</v>
      </c>
      <c r="Y2" s="16">
        <v>8.5</v>
      </c>
      <c r="Z2" s="16">
        <v>8</v>
      </c>
      <c r="AA2" s="16">
        <v>8</v>
      </c>
      <c r="AB2" s="16">
        <v>8</v>
      </c>
      <c r="AC2" s="12">
        <v>8.5</v>
      </c>
      <c r="AD2" s="16">
        <v>79.2</v>
      </c>
      <c r="AE2" s="17">
        <v>165.9</v>
      </c>
      <c r="AF2" s="34">
        <v>5</v>
      </c>
      <c r="AG2" s="35">
        <v>3</v>
      </c>
      <c r="AH2" s="16">
        <v>6.7</v>
      </c>
      <c r="AI2" s="33" t="s">
        <v>139</v>
      </c>
      <c r="AJ2" s="27">
        <v>3.6</v>
      </c>
      <c r="AK2" s="16">
        <v>9</v>
      </c>
      <c r="AL2" s="16">
        <v>9</v>
      </c>
      <c r="AM2" s="16">
        <v>9</v>
      </c>
      <c r="AN2" s="16">
        <v>8.5</v>
      </c>
      <c r="AO2" s="16">
        <v>9</v>
      </c>
      <c r="AP2" s="16">
        <v>9</v>
      </c>
      <c r="AQ2" s="12">
        <v>8</v>
      </c>
      <c r="AR2" s="16">
        <v>97.2</v>
      </c>
      <c r="AS2" s="17">
        <v>263.10000000000002</v>
      </c>
      <c r="AT2" s="34">
        <v>1</v>
      </c>
      <c r="AU2" s="35">
        <v>2</v>
      </c>
      <c r="AV2" s="16">
        <v>5.05</v>
      </c>
      <c r="AW2" s="33" t="s">
        <v>164</v>
      </c>
      <c r="AX2" s="27">
        <v>3.5</v>
      </c>
      <c r="AY2" s="16">
        <v>9</v>
      </c>
      <c r="AZ2" s="16">
        <v>8.5</v>
      </c>
      <c r="BA2" s="16">
        <v>8.5</v>
      </c>
      <c r="BB2" s="16">
        <v>8</v>
      </c>
      <c r="BC2" s="16">
        <v>9</v>
      </c>
      <c r="BD2" s="16">
        <v>8.5</v>
      </c>
      <c r="BE2" s="12">
        <v>9</v>
      </c>
      <c r="BF2" s="16">
        <v>91</v>
      </c>
      <c r="BG2" s="17">
        <v>354.1</v>
      </c>
      <c r="BH2" s="34">
        <v>1</v>
      </c>
      <c r="BI2" s="35">
        <v>2</v>
      </c>
      <c r="BJ2" s="16">
        <v>3.3</v>
      </c>
      <c r="BK2" s="33" t="s">
        <v>173</v>
      </c>
      <c r="BL2" s="27">
        <v>3.7</v>
      </c>
      <c r="BM2" s="16">
        <v>7.5</v>
      </c>
      <c r="BN2" s="16">
        <v>7.5</v>
      </c>
      <c r="BO2" s="16">
        <v>8</v>
      </c>
      <c r="BP2" s="16">
        <v>8</v>
      </c>
      <c r="BQ2" s="16">
        <v>8</v>
      </c>
      <c r="BR2" s="16">
        <v>8.5</v>
      </c>
      <c r="BS2" s="12">
        <v>8.5</v>
      </c>
      <c r="BT2" s="16">
        <v>88.8</v>
      </c>
      <c r="BU2" s="17">
        <v>442.9</v>
      </c>
      <c r="BV2" s="34">
        <v>2</v>
      </c>
      <c r="BW2" s="35">
        <v>1</v>
      </c>
      <c r="BX2" s="16">
        <v>0</v>
      </c>
      <c r="BY2" s="33" t="s">
        <v>174</v>
      </c>
      <c r="BZ2" s="27">
        <v>3.8</v>
      </c>
      <c r="CA2" s="16">
        <v>9</v>
      </c>
      <c r="CB2" s="16">
        <v>9</v>
      </c>
      <c r="CC2" s="16">
        <v>9</v>
      </c>
      <c r="CD2" s="16">
        <v>8.5</v>
      </c>
      <c r="CE2" s="16">
        <v>8.5</v>
      </c>
      <c r="CF2" s="16">
        <v>9</v>
      </c>
      <c r="CG2" s="12">
        <v>8.5</v>
      </c>
      <c r="CH2" s="16">
        <v>100.7</v>
      </c>
      <c r="CI2" s="17">
        <v>543.6</v>
      </c>
      <c r="CJ2" s="34">
        <v>2</v>
      </c>
      <c r="CK2" s="35">
        <v>1</v>
      </c>
      <c r="CL2" s="15">
        <v>0</v>
      </c>
      <c r="CM2" s="32">
        <v>2024</v>
      </c>
      <c r="CN2" s="32" t="s">
        <v>175</v>
      </c>
      <c r="CO2" s="32" t="s">
        <v>10</v>
      </c>
    </row>
    <row r="3" spans="1:93" x14ac:dyDescent="0.35">
      <c r="A3" s="32">
        <v>2</v>
      </c>
      <c r="B3" s="32" t="s">
        <v>3</v>
      </c>
      <c r="C3" s="32" t="s">
        <v>230</v>
      </c>
      <c r="D3" s="32">
        <v>22</v>
      </c>
      <c r="E3" s="15">
        <v>530.20000000000005</v>
      </c>
      <c r="F3" s="15">
        <v>13.4</v>
      </c>
      <c r="G3" s="33" t="s">
        <v>137</v>
      </c>
      <c r="H3" s="27">
        <v>3.4</v>
      </c>
      <c r="I3" s="16">
        <v>8</v>
      </c>
      <c r="J3" s="16">
        <v>8</v>
      </c>
      <c r="K3" s="16">
        <v>8.5</v>
      </c>
      <c r="L3" s="16">
        <v>8</v>
      </c>
      <c r="M3" s="16">
        <v>7.5</v>
      </c>
      <c r="N3" s="16">
        <v>8.5</v>
      </c>
      <c r="O3" s="12">
        <v>8</v>
      </c>
      <c r="P3" s="16">
        <v>81.599999999999994</v>
      </c>
      <c r="Q3" s="17">
        <v>81.599999999999994</v>
      </c>
      <c r="R3" s="34">
        <v>2</v>
      </c>
      <c r="S3" s="35">
        <v>2</v>
      </c>
      <c r="T3" s="16">
        <v>5.0999999999999996</v>
      </c>
      <c r="U3" s="33" t="s">
        <v>176</v>
      </c>
      <c r="V3" s="27">
        <v>3.5</v>
      </c>
      <c r="W3" s="16">
        <v>9</v>
      </c>
      <c r="X3" s="16">
        <v>8.5</v>
      </c>
      <c r="Y3" s="16">
        <v>8.5</v>
      </c>
      <c r="Z3" s="16">
        <v>8.5</v>
      </c>
      <c r="AA3" s="16">
        <v>9</v>
      </c>
      <c r="AB3" s="16">
        <v>8.5</v>
      </c>
      <c r="AC3" s="12">
        <v>9</v>
      </c>
      <c r="AD3" s="16">
        <v>91</v>
      </c>
      <c r="AE3" s="17">
        <v>172.6</v>
      </c>
      <c r="AF3" s="34">
        <v>1</v>
      </c>
      <c r="AG3" s="35">
        <v>1</v>
      </c>
      <c r="AH3" s="15">
        <v>0</v>
      </c>
      <c r="AI3" s="33" t="s">
        <v>177</v>
      </c>
      <c r="AJ3" s="27">
        <v>3.9</v>
      </c>
      <c r="AK3" s="16">
        <v>8.5</v>
      </c>
      <c r="AL3" s="16">
        <v>8.5</v>
      </c>
      <c r="AM3" s="16">
        <v>8.5</v>
      </c>
      <c r="AN3" s="16">
        <v>8</v>
      </c>
      <c r="AO3" s="16">
        <v>8</v>
      </c>
      <c r="AP3" s="16">
        <v>8</v>
      </c>
      <c r="AQ3" s="12">
        <v>8</v>
      </c>
      <c r="AR3" s="16">
        <v>95.55</v>
      </c>
      <c r="AS3" s="17">
        <v>268.14999999999998</v>
      </c>
      <c r="AT3" s="34">
        <v>2</v>
      </c>
      <c r="AU3" s="35">
        <v>1</v>
      </c>
      <c r="AV3" s="15">
        <v>0</v>
      </c>
      <c r="AW3" s="33" t="s">
        <v>164</v>
      </c>
      <c r="AX3" s="27">
        <v>3.5</v>
      </c>
      <c r="AY3" s="16">
        <v>8.5</v>
      </c>
      <c r="AZ3" s="16">
        <v>8.5</v>
      </c>
      <c r="BA3" s="16">
        <v>8.5</v>
      </c>
      <c r="BB3" s="16">
        <v>8.5</v>
      </c>
      <c r="BC3" s="16">
        <v>8.5</v>
      </c>
      <c r="BD3" s="16">
        <v>8.5</v>
      </c>
      <c r="BE3" s="12">
        <v>8</v>
      </c>
      <c r="BF3" s="16">
        <v>89.25</v>
      </c>
      <c r="BG3" s="17">
        <v>357.4</v>
      </c>
      <c r="BH3" s="34">
        <v>2</v>
      </c>
      <c r="BI3" s="35">
        <v>1</v>
      </c>
      <c r="BJ3" s="15">
        <v>0</v>
      </c>
      <c r="BK3" s="33" t="s">
        <v>139</v>
      </c>
      <c r="BL3" s="27">
        <v>3.6</v>
      </c>
      <c r="BM3" s="16">
        <v>6.5</v>
      </c>
      <c r="BN3" s="16">
        <v>6.5</v>
      </c>
      <c r="BO3" s="16">
        <v>6.5</v>
      </c>
      <c r="BP3" s="16">
        <v>7</v>
      </c>
      <c r="BQ3" s="16">
        <v>6.5</v>
      </c>
      <c r="BR3" s="16">
        <v>7.5</v>
      </c>
      <c r="BS3" s="12">
        <v>6.5</v>
      </c>
      <c r="BT3" s="16">
        <v>70.2</v>
      </c>
      <c r="BU3" s="17">
        <v>427.6</v>
      </c>
      <c r="BV3" s="34">
        <f>6</f>
        <v>6</v>
      </c>
      <c r="BW3" s="35">
        <v>2</v>
      </c>
      <c r="BX3" s="16">
        <v>15.3</v>
      </c>
      <c r="BY3" s="33" t="s">
        <v>174</v>
      </c>
      <c r="BZ3" s="27">
        <v>3.8</v>
      </c>
      <c r="CA3" s="16">
        <v>9.5</v>
      </c>
      <c r="CB3" s="16">
        <v>9</v>
      </c>
      <c r="CC3" s="16">
        <v>9</v>
      </c>
      <c r="CD3" s="16">
        <v>9</v>
      </c>
      <c r="CE3" s="16">
        <v>8.5</v>
      </c>
      <c r="CF3" s="16">
        <v>9</v>
      </c>
      <c r="CG3" s="12">
        <v>9</v>
      </c>
      <c r="CH3" s="16">
        <v>102.6</v>
      </c>
      <c r="CI3" s="17">
        <v>530.20000000000005</v>
      </c>
      <c r="CJ3" s="34">
        <v>1</v>
      </c>
      <c r="CK3" s="35">
        <v>2</v>
      </c>
      <c r="CL3" s="16">
        <v>13.4</v>
      </c>
      <c r="CM3" s="32">
        <v>2024</v>
      </c>
      <c r="CN3" s="32" t="s">
        <v>175</v>
      </c>
      <c r="CO3" s="32" t="s">
        <v>10</v>
      </c>
    </row>
    <row r="4" spans="1:93" x14ac:dyDescent="0.35">
      <c r="A4" s="32">
        <v>3</v>
      </c>
      <c r="B4" s="32" t="s">
        <v>18</v>
      </c>
      <c r="C4" s="32" t="s">
        <v>231</v>
      </c>
      <c r="D4" s="32">
        <v>20</v>
      </c>
      <c r="E4" s="15">
        <v>500.4</v>
      </c>
      <c r="F4" s="15">
        <v>43.2</v>
      </c>
      <c r="G4" s="33" t="s">
        <v>137</v>
      </c>
      <c r="H4" s="27">
        <v>3.4</v>
      </c>
      <c r="I4" s="16">
        <v>7.5</v>
      </c>
      <c r="J4" s="16">
        <v>7.5</v>
      </c>
      <c r="K4" s="16">
        <v>8</v>
      </c>
      <c r="L4" s="16">
        <v>7.5</v>
      </c>
      <c r="M4" s="16">
        <v>8</v>
      </c>
      <c r="N4" s="16">
        <v>8</v>
      </c>
      <c r="O4" s="12">
        <v>8</v>
      </c>
      <c r="P4" s="16">
        <v>79.900000000000006</v>
      </c>
      <c r="Q4" s="17">
        <v>79.900000000000006</v>
      </c>
      <c r="R4" s="34">
        <v>3</v>
      </c>
      <c r="S4" s="35">
        <v>3</v>
      </c>
      <c r="T4" s="16">
        <v>6.8</v>
      </c>
      <c r="U4" s="33" t="s">
        <v>164</v>
      </c>
      <c r="V4" s="27">
        <v>3.5</v>
      </c>
      <c r="W4" s="16">
        <v>8.5</v>
      </c>
      <c r="X4" s="16">
        <v>8.5</v>
      </c>
      <c r="Y4" s="16">
        <v>8.5</v>
      </c>
      <c r="Z4" s="16">
        <v>8.5</v>
      </c>
      <c r="AA4" s="16">
        <v>8.5</v>
      </c>
      <c r="AB4" s="16">
        <v>8.5</v>
      </c>
      <c r="AC4" s="12">
        <v>8.5</v>
      </c>
      <c r="AD4" s="16">
        <v>89.25</v>
      </c>
      <c r="AE4" s="17">
        <v>169.15</v>
      </c>
      <c r="AF4" s="34">
        <v>2</v>
      </c>
      <c r="AG4" s="35">
        <v>2</v>
      </c>
      <c r="AH4" s="16">
        <v>3.45</v>
      </c>
      <c r="AI4" s="33" t="s">
        <v>139</v>
      </c>
      <c r="AJ4" s="27">
        <v>3.6</v>
      </c>
      <c r="AK4" s="16">
        <v>5.5</v>
      </c>
      <c r="AL4" s="16">
        <v>5.5</v>
      </c>
      <c r="AM4" s="16">
        <v>5</v>
      </c>
      <c r="AN4" s="16">
        <v>6</v>
      </c>
      <c r="AO4" s="16">
        <v>6</v>
      </c>
      <c r="AP4" s="16">
        <v>6.5</v>
      </c>
      <c r="AQ4" s="12">
        <v>6</v>
      </c>
      <c r="AR4" s="16">
        <v>63</v>
      </c>
      <c r="AS4" s="17">
        <v>232.15</v>
      </c>
      <c r="AT4" s="34">
        <v>7</v>
      </c>
      <c r="AU4" s="35">
        <v>3</v>
      </c>
      <c r="AV4" s="16">
        <v>36</v>
      </c>
      <c r="AW4" s="33" t="s">
        <v>178</v>
      </c>
      <c r="AX4" s="27">
        <v>3.7</v>
      </c>
      <c r="AY4" s="16">
        <v>6.5</v>
      </c>
      <c r="AZ4" s="16">
        <v>6.5</v>
      </c>
      <c r="BA4" s="16">
        <v>7</v>
      </c>
      <c r="BB4" s="16">
        <v>7</v>
      </c>
      <c r="BC4" s="16">
        <v>6.5</v>
      </c>
      <c r="BD4" s="16">
        <v>7</v>
      </c>
      <c r="BE4" s="12">
        <v>7</v>
      </c>
      <c r="BF4" s="16">
        <v>75.849999999999994</v>
      </c>
      <c r="BG4" s="17">
        <v>308</v>
      </c>
      <c r="BH4" s="34">
        <v>3</v>
      </c>
      <c r="BI4" s="35">
        <v>3</v>
      </c>
      <c r="BJ4" s="16">
        <v>49.4</v>
      </c>
      <c r="BK4" s="33" t="s">
        <v>174</v>
      </c>
      <c r="BL4" s="27">
        <v>3.8</v>
      </c>
      <c r="BM4" s="16">
        <v>9</v>
      </c>
      <c r="BN4" s="16">
        <v>9</v>
      </c>
      <c r="BO4" s="16">
        <v>8.5</v>
      </c>
      <c r="BP4" s="16">
        <v>8.5</v>
      </c>
      <c r="BQ4" s="16">
        <v>9</v>
      </c>
      <c r="BR4" s="16">
        <v>8.5</v>
      </c>
      <c r="BS4" s="12">
        <v>8.5</v>
      </c>
      <c r="BT4" s="16">
        <v>98.8</v>
      </c>
      <c r="BU4" s="17">
        <v>406.8</v>
      </c>
      <c r="BV4" s="34">
        <v>1</v>
      </c>
      <c r="BW4" s="35">
        <v>3</v>
      </c>
      <c r="BX4" s="16">
        <v>36.1</v>
      </c>
      <c r="BY4" s="33" t="s">
        <v>177</v>
      </c>
      <c r="BZ4" s="27">
        <v>3.9</v>
      </c>
      <c r="CA4" s="16">
        <v>8</v>
      </c>
      <c r="CB4" s="16">
        <v>8</v>
      </c>
      <c r="CC4" s="16">
        <v>8</v>
      </c>
      <c r="CD4" s="16">
        <v>8.5</v>
      </c>
      <c r="CE4" s="16">
        <v>8.5</v>
      </c>
      <c r="CF4" s="16">
        <v>7.5</v>
      </c>
      <c r="CG4" s="12">
        <v>7.5</v>
      </c>
      <c r="CH4" s="16">
        <v>93.6</v>
      </c>
      <c r="CI4" s="17">
        <v>500.4</v>
      </c>
      <c r="CJ4" s="34">
        <v>3</v>
      </c>
      <c r="CK4" s="35">
        <v>3</v>
      </c>
      <c r="CL4" s="16">
        <v>43.2</v>
      </c>
      <c r="CM4" s="32">
        <v>2024</v>
      </c>
      <c r="CN4" s="32" t="s">
        <v>175</v>
      </c>
      <c r="CO4" s="32" t="s">
        <v>10</v>
      </c>
    </row>
    <row r="5" spans="1:93" x14ac:dyDescent="0.35">
      <c r="A5" s="32">
        <v>4</v>
      </c>
      <c r="B5" s="32" t="s">
        <v>34</v>
      </c>
      <c r="C5" s="32" t="s">
        <v>179</v>
      </c>
      <c r="D5" s="32">
        <v>20</v>
      </c>
      <c r="E5" s="15">
        <v>429.25</v>
      </c>
      <c r="F5" s="15">
        <v>114.35</v>
      </c>
      <c r="G5" s="33" t="s">
        <v>13</v>
      </c>
      <c r="H5" s="27">
        <v>3.4</v>
      </c>
      <c r="I5" s="16">
        <v>7.5</v>
      </c>
      <c r="J5" s="16">
        <v>7.5</v>
      </c>
      <c r="K5" s="16">
        <v>8</v>
      </c>
      <c r="L5" s="16">
        <v>7</v>
      </c>
      <c r="M5" s="16">
        <v>7</v>
      </c>
      <c r="N5" s="16">
        <v>7.5</v>
      </c>
      <c r="O5" s="12">
        <v>7.5</v>
      </c>
      <c r="P5" s="16">
        <v>76.5</v>
      </c>
      <c r="Q5" s="17">
        <v>76.5</v>
      </c>
      <c r="R5" s="34">
        <f>4</f>
        <v>4</v>
      </c>
      <c r="S5" s="35">
        <f>4</f>
        <v>4</v>
      </c>
      <c r="T5" s="16">
        <v>10.199999999999999</v>
      </c>
      <c r="U5" s="33" t="s">
        <v>4</v>
      </c>
      <c r="V5" s="27">
        <v>3</v>
      </c>
      <c r="W5" s="16">
        <v>7.5</v>
      </c>
      <c r="X5" s="16">
        <v>7.5</v>
      </c>
      <c r="Y5" s="16">
        <v>7</v>
      </c>
      <c r="Z5" s="16">
        <v>7.5</v>
      </c>
      <c r="AA5" s="16">
        <v>8</v>
      </c>
      <c r="AB5" s="16">
        <v>7.5</v>
      </c>
      <c r="AC5" s="12">
        <v>7.5</v>
      </c>
      <c r="AD5" s="16">
        <v>67.5</v>
      </c>
      <c r="AE5" s="17">
        <v>144</v>
      </c>
      <c r="AF5" s="34">
        <v>10</v>
      </c>
      <c r="AG5" s="35">
        <v>7</v>
      </c>
      <c r="AH5" s="16">
        <v>28.6</v>
      </c>
      <c r="AI5" s="33" t="s">
        <v>7</v>
      </c>
      <c r="AJ5" s="27">
        <v>3.1</v>
      </c>
      <c r="AK5" s="16">
        <v>7.5</v>
      </c>
      <c r="AL5" s="16">
        <v>7</v>
      </c>
      <c r="AM5" s="16">
        <v>7.5</v>
      </c>
      <c r="AN5" s="16">
        <v>7.5</v>
      </c>
      <c r="AO5" s="16">
        <v>7.5</v>
      </c>
      <c r="AP5" s="16">
        <v>7.5</v>
      </c>
      <c r="AQ5" s="12">
        <v>7.5</v>
      </c>
      <c r="AR5" s="16">
        <v>69.75</v>
      </c>
      <c r="AS5" s="17">
        <v>213.75</v>
      </c>
      <c r="AT5" s="34">
        <v>4</v>
      </c>
      <c r="AU5" s="35">
        <v>5</v>
      </c>
      <c r="AV5" s="16">
        <v>54.4</v>
      </c>
      <c r="AW5" s="33" t="s">
        <v>5</v>
      </c>
      <c r="AX5" s="27">
        <v>3</v>
      </c>
      <c r="AY5" s="16">
        <v>8</v>
      </c>
      <c r="AZ5" s="16">
        <v>8</v>
      </c>
      <c r="BA5" s="16">
        <v>8</v>
      </c>
      <c r="BB5" s="16">
        <v>8.5</v>
      </c>
      <c r="BC5" s="16">
        <v>8</v>
      </c>
      <c r="BD5" s="16">
        <v>8</v>
      </c>
      <c r="BE5" s="12">
        <v>8</v>
      </c>
      <c r="BF5" s="16">
        <v>72</v>
      </c>
      <c r="BG5" s="17">
        <v>285.75</v>
      </c>
      <c r="BH5" s="34">
        <v>8</v>
      </c>
      <c r="BI5" s="35">
        <v>5</v>
      </c>
      <c r="BJ5" s="16">
        <v>71.650000000000006</v>
      </c>
      <c r="BK5" s="33" t="s">
        <v>164</v>
      </c>
      <c r="BL5" s="27">
        <v>3.5</v>
      </c>
      <c r="BM5" s="16">
        <v>6</v>
      </c>
      <c r="BN5" s="16">
        <v>6</v>
      </c>
      <c r="BO5" s="16">
        <v>5</v>
      </c>
      <c r="BP5" s="16">
        <v>6.5</v>
      </c>
      <c r="BQ5" s="16">
        <v>6</v>
      </c>
      <c r="BR5" s="16">
        <v>6.5</v>
      </c>
      <c r="BS5" s="12">
        <v>6.5</v>
      </c>
      <c r="BT5" s="16">
        <v>64.75</v>
      </c>
      <c r="BU5" s="17">
        <v>350.5</v>
      </c>
      <c r="BV5" s="34">
        <v>8</v>
      </c>
      <c r="BW5" s="35">
        <v>5</v>
      </c>
      <c r="BX5" s="16">
        <v>92.4</v>
      </c>
      <c r="BY5" s="33" t="s">
        <v>176</v>
      </c>
      <c r="BZ5" s="27">
        <v>3.5</v>
      </c>
      <c r="CA5" s="16">
        <v>8</v>
      </c>
      <c r="CB5" s="16">
        <v>8</v>
      </c>
      <c r="CC5" s="16">
        <v>7.5</v>
      </c>
      <c r="CD5" s="16">
        <v>7.5</v>
      </c>
      <c r="CE5" s="16">
        <v>7.5</v>
      </c>
      <c r="CF5" s="16">
        <v>7</v>
      </c>
      <c r="CG5" s="12">
        <v>7</v>
      </c>
      <c r="CH5" s="16">
        <v>78.75</v>
      </c>
      <c r="CI5" s="17">
        <v>429.25</v>
      </c>
      <c r="CJ5" s="34">
        <v>4</v>
      </c>
      <c r="CK5" s="35">
        <v>4</v>
      </c>
      <c r="CL5" s="16">
        <v>114.35</v>
      </c>
      <c r="CM5" s="32">
        <v>2024</v>
      </c>
      <c r="CN5" s="32" t="s">
        <v>175</v>
      </c>
      <c r="CO5" s="32" t="s">
        <v>10</v>
      </c>
    </row>
    <row r="6" spans="1:93" x14ac:dyDescent="0.35">
      <c r="A6" s="32">
        <v>5</v>
      </c>
      <c r="B6" s="32" t="s">
        <v>17</v>
      </c>
      <c r="C6" s="32" t="s">
        <v>180</v>
      </c>
      <c r="D6" s="32">
        <v>26</v>
      </c>
      <c r="E6" s="15">
        <v>427.75</v>
      </c>
      <c r="F6" s="15">
        <v>115.85</v>
      </c>
      <c r="G6" s="33" t="s">
        <v>13</v>
      </c>
      <c r="H6" s="27">
        <v>3.4</v>
      </c>
      <c r="I6" s="16">
        <v>7.5</v>
      </c>
      <c r="J6" s="16">
        <v>7.5</v>
      </c>
      <c r="K6" s="16">
        <v>8</v>
      </c>
      <c r="L6" s="16">
        <v>7.5</v>
      </c>
      <c r="M6" s="16">
        <v>7.5</v>
      </c>
      <c r="N6" s="16">
        <v>7.5</v>
      </c>
      <c r="O6" s="12">
        <v>8</v>
      </c>
      <c r="P6" s="16">
        <v>76.5</v>
      </c>
      <c r="Q6" s="17">
        <v>76.5</v>
      </c>
      <c r="R6" s="34">
        <f>4</f>
        <v>4</v>
      </c>
      <c r="S6" s="35">
        <f>4</f>
        <v>4</v>
      </c>
      <c r="T6" s="16">
        <v>10.199999999999999</v>
      </c>
      <c r="U6" s="33" t="s">
        <v>137</v>
      </c>
      <c r="V6" s="27">
        <v>3.4</v>
      </c>
      <c r="W6" s="16">
        <v>6</v>
      </c>
      <c r="X6" s="16">
        <v>6</v>
      </c>
      <c r="Y6" s="16">
        <v>6.5</v>
      </c>
      <c r="Z6" s="16">
        <v>7</v>
      </c>
      <c r="AA6" s="16">
        <v>6.5</v>
      </c>
      <c r="AB6" s="16">
        <v>7</v>
      </c>
      <c r="AC6" s="12">
        <v>6</v>
      </c>
      <c r="AD6" s="16">
        <v>64.599999999999994</v>
      </c>
      <c r="AE6" s="17">
        <v>141.1</v>
      </c>
      <c r="AF6" s="34">
        <v>11</v>
      </c>
      <c r="AG6" s="35">
        <v>9</v>
      </c>
      <c r="AH6" s="16">
        <v>31.5</v>
      </c>
      <c r="AI6" s="33" t="s">
        <v>164</v>
      </c>
      <c r="AJ6" s="27">
        <v>3.5</v>
      </c>
      <c r="AK6" s="16">
        <v>6.5</v>
      </c>
      <c r="AL6" s="16">
        <v>6.5</v>
      </c>
      <c r="AM6" s="16">
        <v>6.5</v>
      </c>
      <c r="AN6" s="16">
        <v>6</v>
      </c>
      <c r="AO6" s="16">
        <v>6</v>
      </c>
      <c r="AP6" s="16">
        <v>6.5</v>
      </c>
      <c r="AQ6" s="12">
        <v>7</v>
      </c>
      <c r="AR6" s="16">
        <v>68.25</v>
      </c>
      <c r="AS6" s="17">
        <v>209.35</v>
      </c>
      <c r="AT6" s="34">
        <v>5</v>
      </c>
      <c r="AU6" s="35">
        <v>6</v>
      </c>
      <c r="AV6" s="16">
        <v>58.8</v>
      </c>
      <c r="AW6" s="33" t="s">
        <v>177</v>
      </c>
      <c r="AX6" s="27">
        <v>3.9</v>
      </c>
      <c r="AY6" s="16">
        <v>6.5</v>
      </c>
      <c r="AZ6" s="16">
        <v>6.5</v>
      </c>
      <c r="BA6" s="16">
        <v>6</v>
      </c>
      <c r="BB6" s="16">
        <v>6</v>
      </c>
      <c r="BC6" s="16">
        <v>6.5</v>
      </c>
      <c r="BD6" s="16">
        <v>6</v>
      </c>
      <c r="BE6" s="12">
        <v>7</v>
      </c>
      <c r="BF6" s="16">
        <v>74.099999999999994</v>
      </c>
      <c r="BG6" s="17">
        <v>283.45</v>
      </c>
      <c r="BH6" s="34">
        <v>4</v>
      </c>
      <c r="BI6" s="35">
        <v>6</v>
      </c>
      <c r="BJ6" s="16">
        <v>73.95</v>
      </c>
      <c r="BK6" s="33" t="s">
        <v>139</v>
      </c>
      <c r="BL6" s="27">
        <v>3.6</v>
      </c>
      <c r="BM6" s="16">
        <v>6</v>
      </c>
      <c r="BN6" s="16">
        <v>6.5</v>
      </c>
      <c r="BO6" s="16">
        <v>7</v>
      </c>
      <c r="BP6" s="16">
        <v>6.5</v>
      </c>
      <c r="BQ6" s="16">
        <v>6</v>
      </c>
      <c r="BR6" s="16">
        <v>7</v>
      </c>
      <c r="BS6" s="12">
        <v>6.5</v>
      </c>
      <c r="BT6" s="16">
        <v>70.2</v>
      </c>
      <c r="BU6" s="17">
        <v>353.65</v>
      </c>
      <c r="BV6" s="34">
        <f>6</f>
        <v>6</v>
      </c>
      <c r="BW6" s="35">
        <v>4</v>
      </c>
      <c r="BX6" s="16">
        <v>89.25</v>
      </c>
      <c r="BY6" s="33" t="s">
        <v>174</v>
      </c>
      <c r="BZ6" s="27">
        <v>3.8</v>
      </c>
      <c r="CA6" s="16">
        <v>6.5</v>
      </c>
      <c r="CB6" s="16">
        <v>6.5</v>
      </c>
      <c r="CC6" s="16">
        <v>6.5</v>
      </c>
      <c r="CD6" s="16">
        <v>6.5</v>
      </c>
      <c r="CE6" s="16">
        <v>6.5</v>
      </c>
      <c r="CF6" s="16">
        <v>6.5</v>
      </c>
      <c r="CG6" s="12">
        <v>6</v>
      </c>
      <c r="CH6" s="16">
        <v>74.099999999999994</v>
      </c>
      <c r="CI6" s="17">
        <v>427.75</v>
      </c>
      <c r="CJ6" s="34">
        <v>6</v>
      </c>
      <c r="CK6" s="35">
        <v>5</v>
      </c>
      <c r="CL6" s="16">
        <v>115.85</v>
      </c>
      <c r="CM6" s="32">
        <v>2024</v>
      </c>
      <c r="CN6" s="32" t="s">
        <v>175</v>
      </c>
      <c r="CO6" s="32" t="s">
        <v>10</v>
      </c>
    </row>
    <row r="7" spans="1:93" x14ac:dyDescent="0.35">
      <c r="A7" s="32">
        <v>6</v>
      </c>
      <c r="B7" s="32" t="s">
        <v>181</v>
      </c>
      <c r="C7" s="32" t="s">
        <v>232</v>
      </c>
      <c r="D7" s="32">
        <v>22</v>
      </c>
      <c r="E7" s="15">
        <v>421.85</v>
      </c>
      <c r="F7" s="15">
        <v>121.75</v>
      </c>
      <c r="G7" s="33" t="s">
        <v>137</v>
      </c>
      <c r="H7" s="27">
        <v>3.4</v>
      </c>
      <c r="I7" s="16">
        <v>5</v>
      </c>
      <c r="J7" s="16">
        <v>5</v>
      </c>
      <c r="K7" s="16">
        <v>4.5</v>
      </c>
      <c r="L7" s="16">
        <v>4</v>
      </c>
      <c r="M7" s="16">
        <v>4.5</v>
      </c>
      <c r="N7" s="16">
        <v>5</v>
      </c>
      <c r="O7" s="12">
        <v>5</v>
      </c>
      <c r="P7" s="16">
        <v>49.3</v>
      </c>
      <c r="Q7" s="17">
        <v>49.3</v>
      </c>
      <c r="R7" s="34">
        <v>12</v>
      </c>
      <c r="S7" s="35">
        <v>12</v>
      </c>
      <c r="T7" s="16">
        <v>37.4</v>
      </c>
      <c r="U7" s="33" t="s">
        <v>13</v>
      </c>
      <c r="V7" s="27">
        <v>3.4</v>
      </c>
      <c r="W7" s="16">
        <v>7</v>
      </c>
      <c r="X7" s="16">
        <v>7</v>
      </c>
      <c r="Y7" s="16">
        <v>7</v>
      </c>
      <c r="Z7" s="16">
        <v>7</v>
      </c>
      <c r="AA7" s="16">
        <v>7</v>
      </c>
      <c r="AB7" s="16">
        <v>7</v>
      </c>
      <c r="AC7" s="12">
        <v>7.5</v>
      </c>
      <c r="AD7" s="16">
        <v>71.400000000000006</v>
      </c>
      <c r="AE7" s="17">
        <v>120.7</v>
      </c>
      <c r="AF7" s="34">
        <v>8</v>
      </c>
      <c r="AG7" s="35">
        <f>11</f>
        <v>11</v>
      </c>
      <c r="AH7" s="16">
        <v>51.9</v>
      </c>
      <c r="AI7" s="33" t="s">
        <v>177</v>
      </c>
      <c r="AJ7" s="27">
        <v>3.9</v>
      </c>
      <c r="AK7" s="16">
        <v>7.5</v>
      </c>
      <c r="AL7" s="16">
        <v>7</v>
      </c>
      <c r="AM7" s="16">
        <v>6.5</v>
      </c>
      <c r="AN7" s="16">
        <v>6.5</v>
      </c>
      <c r="AO7" s="16">
        <v>6.5</v>
      </c>
      <c r="AP7" s="16">
        <v>7</v>
      </c>
      <c r="AQ7" s="12">
        <v>7</v>
      </c>
      <c r="AR7" s="16">
        <v>79.95</v>
      </c>
      <c r="AS7" s="17">
        <v>200.65</v>
      </c>
      <c r="AT7" s="34">
        <v>3</v>
      </c>
      <c r="AU7" s="35">
        <v>7</v>
      </c>
      <c r="AV7" s="16">
        <v>67.5</v>
      </c>
      <c r="AW7" s="33" t="s">
        <v>174</v>
      </c>
      <c r="AX7" s="27">
        <v>3.8</v>
      </c>
      <c r="AY7" s="16">
        <v>6</v>
      </c>
      <c r="AZ7" s="16">
        <v>6</v>
      </c>
      <c r="BA7" s="16">
        <v>6</v>
      </c>
      <c r="BB7" s="16">
        <v>7</v>
      </c>
      <c r="BC7" s="16">
        <v>7</v>
      </c>
      <c r="BD7" s="16">
        <v>6.5</v>
      </c>
      <c r="BE7" s="12">
        <v>6.5</v>
      </c>
      <c r="BF7" s="16">
        <v>72.2</v>
      </c>
      <c r="BG7" s="17">
        <v>272.85000000000002</v>
      </c>
      <c r="BH7" s="34">
        <v>6</v>
      </c>
      <c r="BI7" s="35">
        <v>7</v>
      </c>
      <c r="BJ7" s="16">
        <v>84.55</v>
      </c>
      <c r="BK7" s="33" t="s">
        <v>139</v>
      </c>
      <c r="BL7" s="27">
        <v>3.6</v>
      </c>
      <c r="BM7" s="16">
        <v>6.5</v>
      </c>
      <c r="BN7" s="16">
        <v>6.5</v>
      </c>
      <c r="BO7" s="16">
        <v>7</v>
      </c>
      <c r="BP7" s="16">
        <v>7</v>
      </c>
      <c r="BQ7" s="16">
        <v>6</v>
      </c>
      <c r="BR7" s="16">
        <v>7</v>
      </c>
      <c r="BS7" s="12">
        <v>6.5</v>
      </c>
      <c r="BT7" s="16">
        <v>72</v>
      </c>
      <c r="BU7" s="17">
        <v>344.85</v>
      </c>
      <c r="BV7" s="34">
        <v>5</v>
      </c>
      <c r="BW7" s="35">
        <v>7</v>
      </c>
      <c r="BX7" s="16">
        <v>98.05</v>
      </c>
      <c r="BY7" s="33" t="s">
        <v>164</v>
      </c>
      <c r="BZ7" s="27">
        <v>3.5</v>
      </c>
      <c r="CA7" s="16">
        <v>7</v>
      </c>
      <c r="CB7" s="16">
        <v>7</v>
      </c>
      <c r="CC7" s="16">
        <v>6.5</v>
      </c>
      <c r="CD7" s="16">
        <v>7.5</v>
      </c>
      <c r="CE7" s="16">
        <v>7.5</v>
      </c>
      <c r="CF7" s="16">
        <v>7.5</v>
      </c>
      <c r="CG7" s="12">
        <v>7.5</v>
      </c>
      <c r="CH7" s="16">
        <v>77</v>
      </c>
      <c r="CI7" s="17">
        <v>421.85</v>
      </c>
      <c r="CJ7" s="34">
        <v>5</v>
      </c>
      <c r="CK7" s="35">
        <v>6</v>
      </c>
      <c r="CL7" s="16">
        <v>121.75</v>
      </c>
      <c r="CM7" s="32">
        <v>2024</v>
      </c>
      <c r="CN7" s="32" t="s">
        <v>175</v>
      </c>
      <c r="CO7" s="32" t="s">
        <v>10</v>
      </c>
    </row>
    <row r="8" spans="1:93" x14ac:dyDescent="0.35">
      <c r="A8" s="32">
        <v>7</v>
      </c>
      <c r="B8" s="32" t="s">
        <v>17</v>
      </c>
      <c r="C8" s="32" t="s">
        <v>182</v>
      </c>
      <c r="D8" s="32">
        <v>29</v>
      </c>
      <c r="E8" s="15">
        <v>410.95</v>
      </c>
      <c r="F8" s="15">
        <v>132.65</v>
      </c>
      <c r="G8" s="33" t="s">
        <v>13</v>
      </c>
      <c r="H8" s="27">
        <v>3.4</v>
      </c>
      <c r="I8" s="16">
        <v>7.5</v>
      </c>
      <c r="J8" s="16">
        <v>7.5</v>
      </c>
      <c r="K8" s="16">
        <v>7.5</v>
      </c>
      <c r="L8" s="16">
        <v>7</v>
      </c>
      <c r="M8" s="16">
        <v>6.5</v>
      </c>
      <c r="N8" s="16">
        <v>7.5</v>
      </c>
      <c r="O8" s="12">
        <v>6.5</v>
      </c>
      <c r="P8" s="16">
        <v>74.8</v>
      </c>
      <c r="Q8" s="17">
        <v>74.8</v>
      </c>
      <c r="R8" s="34">
        <f>7</f>
        <v>7</v>
      </c>
      <c r="S8" s="35">
        <f>7</f>
        <v>7</v>
      </c>
      <c r="T8" s="16">
        <v>11.9</v>
      </c>
      <c r="U8" s="33" t="s">
        <v>164</v>
      </c>
      <c r="V8" s="27">
        <v>3.5</v>
      </c>
      <c r="W8" s="16">
        <v>8</v>
      </c>
      <c r="X8" s="16">
        <v>8</v>
      </c>
      <c r="Y8" s="16">
        <v>8</v>
      </c>
      <c r="Z8" s="16">
        <v>8</v>
      </c>
      <c r="AA8" s="16">
        <v>7.5</v>
      </c>
      <c r="AB8" s="16">
        <v>8</v>
      </c>
      <c r="AC8" s="12">
        <v>8</v>
      </c>
      <c r="AD8" s="16">
        <v>84</v>
      </c>
      <c r="AE8" s="17">
        <v>158.80000000000001</v>
      </c>
      <c r="AF8" s="34">
        <v>3</v>
      </c>
      <c r="AG8" s="35">
        <v>4</v>
      </c>
      <c r="AH8" s="16">
        <v>13.8</v>
      </c>
      <c r="AI8" s="33" t="s">
        <v>137</v>
      </c>
      <c r="AJ8" s="27">
        <v>3.4</v>
      </c>
      <c r="AK8" s="16">
        <v>3.5</v>
      </c>
      <c r="AL8" s="16">
        <v>3.5</v>
      </c>
      <c r="AM8" s="16">
        <v>3</v>
      </c>
      <c r="AN8" s="16">
        <v>3</v>
      </c>
      <c r="AO8" s="16">
        <v>3.5</v>
      </c>
      <c r="AP8" s="16">
        <v>4</v>
      </c>
      <c r="AQ8" s="12">
        <v>4</v>
      </c>
      <c r="AR8" s="16">
        <v>35.700000000000003</v>
      </c>
      <c r="AS8" s="17">
        <v>194.5</v>
      </c>
      <c r="AT8" s="34">
        <v>12</v>
      </c>
      <c r="AU8" s="35">
        <v>8</v>
      </c>
      <c r="AV8" s="16">
        <v>73.650000000000006</v>
      </c>
      <c r="AW8" s="33" t="s">
        <v>177</v>
      </c>
      <c r="AX8" s="27">
        <v>3.9</v>
      </c>
      <c r="AY8" s="16">
        <v>6</v>
      </c>
      <c r="AZ8" s="16">
        <v>6</v>
      </c>
      <c r="BA8" s="16">
        <v>6</v>
      </c>
      <c r="BB8" s="16">
        <v>6.5</v>
      </c>
      <c r="BC8" s="16">
        <v>6</v>
      </c>
      <c r="BD8" s="16">
        <v>6.5</v>
      </c>
      <c r="BE8" s="12">
        <v>6.5</v>
      </c>
      <c r="BF8" s="16">
        <v>72.150000000000006</v>
      </c>
      <c r="BG8" s="17">
        <v>266.64999999999998</v>
      </c>
      <c r="BH8" s="34">
        <v>7</v>
      </c>
      <c r="BI8" s="35">
        <v>8</v>
      </c>
      <c r="BJ8" s="16">
        <v>90.75</v>
      </c>
      <c r="BK8" s="33" t="s">
        <v>174</v>
      </c>
      <c r="BL8" s="27">
        <v>3.8</v>
      </c>
      <c r="BM8" s="16">
        <v>6.5</v>
      </c>
      <c r="BN8" s="16">
        <v>7</v>
      </c>
      <c r="BO8" s="16">
        <v>7</v>
      </c>
      <c r="BP8" s="16">
        <v>6</v>
      </c>
      <c r="BQ8" s="16">
        <v>5.5</v>
      </c>
      <c r="BR8" s="16">
        <v>6.5</v>
      </c>
      <c r="BS8" s="12">
        <v>6.5</v>
      </c>
      <c r="BT8" s="16">
        <v>74.099999999999994</v>
      </c>
      <c r="BU8" s="17">
        <v>340.75</v>
      </c>
      <c r="BV8" s="34">
        <v>4</v>
      </c>
      <c r="BW8" s="35">
        <v>8</v>
      </c>
      <c r="BX8" s="16">
        <v>102.15</v>
      </c>
      <c r="BY8" s="33" t="s">
        <v>139</v>
      </c>
      <c r="BZ8" s="27">
        <v>3.6</v>
      </c>
      <c r="CA8" s="16">
        <v>6.5</v>
      </c>
      <c r="CB8" s="16">
        <v>6.5</v>
      </c>
      <c r="CC8" s="16">
        <v>6.5</v>
      </c>
      <c r="CD8" s="16">
        <v>6</v>
      </c>
      <c r="CE8" s="16">
        <v>6.5</v>
      </c>
      <c r="CF8" s="16">
        <v>6</v>
      </c>
      <c r="CG8" s="12">
        <v>6.5</v>
      </c>
      <c r="CH8" s="16">
        <v>70.2</v>
      </c>
      <c r="CI8" s="17">
        <v>410.95</v>
      </c>
      <c r="CJ8" s="34">
        <f>8</f>
        <v>8</v>
      </c>
      <c r="CK8" s="35">
        <v>7</v>
      </c>
      <c r="CL8" s="16">
        <v>132.65</v>
      </c>
      <c r="CM8" s="32">
        <v>2024</v>
      </c>
      <c r="CN8" s="32" t="s">
        <v>175</v>
      </c>
      <c r="CO8" s="32" t="s">
        <v>10</v>
      </c>
    </row>
    <row r="9" spans="1:93" x14ac:dyDescent="0.35">
      <c r="A9" s="32">
        <v>8</v>
      </c>
      <c r="B9" s="32" t="s">
        <v>184</v>
      </c>
      <c r="C9" s="32" t="s">
        <v>183</v>
      </c>
      <c r="D9" s="32">
        <v>22</v>
      </c>
      <c r="E9" s="15">
        <v>395.7</v>
      </c>
      <c r="F9" s="15">
        <v>147.9</v>
      </c>
      <c r="G9" s="33" t="s">
        <v>137</v>
      </c>
      <c r="H9" s="27">
        <v>3.4</v>
      </c>
      <c r="I9" s="16">
        <v>7</v>
      </c>
      <c r="J9" s="16">
        <v>7.5</v>
      </c>
      <c r="K9" s="16">
        <v>7.5</v>
      </c>
      <c r="L9" s="16">
        <v>7</v>
      </c>
      <c r="M9" s="16">
        <v>6.5</v>
      </c>
      <c r="N9" s="16">
        <v>7</v>
      </c>
      <c r="O9" s="12">
        <v>7.5</v>
      </c>
      <c r="P9" s="16">
        <v>73.099999999999994</v>
      </c>
      <c r="Q9" s="17">
        <v>73.099999999999994</v>
      </c>
      <c r="R9" s="34">
        <v>9</v>
      </c>
      <c r="S9" s="35">
        <v>9</v>
      </c>
      <c r="T9" s="16">
        <v>13.6</v>
      </c>
      <c r="U9" s="33" t="s">
        <v>13</v>
      </c>
      <c r="V9" s="27">
        <v>3.4</v>
      </c>
      <c r="W9" s="16">
        <v>8.5</v>
      </c>
      <c r="X9" s="16">
        <v>8.5</v>
      </c>
      <c r="Y9" s="16">
        <v>8</v>
      </c>
      <c r="Z9" s="16">
        <v>8</v>
      </c>
      <c r="AA9" s="16">
        <v>8</v>
      </c>
      <c r="AB9" s="16">
        <v>8</v>
      </c>
      <c r="AC9" s="12">
        <v>8</v>
      </c>
      <c r="AD9" s="16">
        <v>81.599999999999994</v>
      </c>
      <c r="AE9" s="17">
        <v>154.69999999999999</v>
      </c>
      <c r="AF9" s="34">
        <v>4</v>
      </c>
      <c r="AG9" s="35">
        <v>5</v>
      </c>
      <c r="AH9" s="16">
        <v>17.899999999999999</v>
      </c>
      <c r="AI9" s="33" t="s">
        <v>5</v>
      </c>
      <c r="AJ9" s="27">
        <v>3</v>
      </c>
      <c r="AK9" s="16">
        <v>7</v>
      </c>
      <c r="AL9" s="16">
        <v>7</v>
      </c>
      <c r="AM9" s="16">
        <v>7.5</v>
      </c>
      <c r="AN9" s="16">
        <v>7.5</v>
      </c>
      <c r="AO9" s="16">
        <v>8</v>
      </c>
      <c r="AP9" s="16">
        <v>7.5</v>
      </c>
      <c r="AQ9" s="12">
        <v>7.5</v>
      </c>
      <c r="AR9" s="16">
        <v>67.5</v>
      </c>
      <c r="AS9" s="17">
        <v>222.2</v>
      </c>
      <c r="AT9" s="34">
        <v>6</v>
      </c>
      <c r="AU9" s="35">
        <v>4</v>
      </c>
      <c r="AV9" s="16">
        <v>45.95</v>
      </c>
      <c r="AW9" s="33" t="s">
        <v>176</v>
      </c>
      <c r="AX9" s="27">
        <v>3.5</v>
      </c>
      <c r="AY9" s="16">
        <v>6.5</v>
      </c>
      <c r="AZ9" s="16">
        <v>6.5</v>
      </c>
      <c r="BA9" s="16">
        <v>6.5</v>
      </c>
      <c r="BB9" s="16">
        <v>6.5</v>
      </c>
      <c r="BC9" s="16">
        <v>6</v>
      </c>
      <c r="BD9" s="16">
        <v>7</v>
      </c>
      <c r="BE9" s="12">
        <v>7</v>
      </c>
      <c r="BF9" s="16">
        <v>68.25</v>
      </c>
      <c r="BG9" s="17">
        <v>290.45</v>
      </c>
      <c r="BH9" s="34">
        <v>9</v>
      </c>
      <c r="BI9" s="35">
        <v>4</v>
      </c>
      <c r="BJ9" s="16">
        <v>66.95</v>
      </c>
      <c r="BK9" s="33" t="s">
        <v>164</v>
      </c>
      <c r="BL9" s="27">
        <v>3.5</v>
      </c>
      <c r="BM9" s="16">
        <v>5.5</v>
      </c>
      <c r="BN9" s="16">
        <v>5.5</v>
      </c>
      <c r="BO9" s="16">
        <v>5.5</v>
      </c>
      <c r="BP9" s="16">
        <v>5.5</v>
      </c>
      <c r="BQ9" s="16">
        <v>5</v>
      </c>
      <c r="BR9" s="16">
        <v>5</v>
      </c>
      <c r="BS9" s="12">
        <v>6</v>
      </c>
      <c r="BT9" s="16">
        <v>57.75</v>
      </c>
      <c r="BU9" s="17">
        <v>348.2</v>
      </c>
      <c r="BV9" s="34">
        <v>10</v>
      </c>
      <c r="BW9" s="35">
        <v>6</v>
      </c>
      <c r="BX9" s="16">
        <v>94.7</v>
      </c>
      <c r="BY9" s="33" t="s">
        <v>174</v>
      </c>
      <c r="BZ9" s="27">
        <v>3.8</v>
      </c>
      <c r="CA9" s="16">
        <v>4.5</v>
      </c>
      <c r="CB9" s="16">
        <v>4.5</v>
      </c>
      <c r="CC9" s="16">
        <v>5</v>
      </c>
      <c r="CD9" s="16">
        <v>4</v>
      </c>
      <c r="CE9" s="16">
        <v>4</v>
      </c>
      <c r="CF9" s="16">
        <v>4</v>
      </c>
      <c r="CG9" s="12">
        <v>4</v>
      </c>
      <c r="CH9" s="16">
        <v>47.5</v>
      </c>
      <c r="CI9" s="17">
        <v>395.7</v>
      </c>
      <c r="CJ9" s="34">
        <v>12</v>
      </c>
      <c r="CK9" s="35">
        <v>8</v>
      </c>
      <c r="CL9" s="16">
        <v>147.9</v>
      </c>
      <c r="CM9" s="32">
        <v>2024</v>
      </c>
      <c r="CN9" s="32" t="s">
        <v>175</v>
      </c>
      <c r="CO9" s="32" t="s">
        <v>10</v>
      </c>
    </row>
    <row r="10" spans="1:93" x14ac:dyDescent="0.35">
      <c r="A10" s="32">
        <v>9</v>
      </c>
      <c r="B10" s="32" t="s">
        <v>186</v>
      </c>
      <c r="C10" s="32" t="s">
        <v>185</v>
      </c>
      <c r="D10" s="32">
        <v>33</v>
      </c>
      <c r="E10" s="15">
        <v>393.65</v>
      </c>
      <c r="F10" s="15">
        <v>149.94999999999999</v>
      </c>
      <c r="G10" s="33" t="s">
        <v>13</v>
      </c>
      <c r="H10" s="27">
        <v>3.4</v>
      </c>
      <c r="I10" s="16">
        <v>7</v>
      </c>
      <c r="J10" s="16">
        <v>7</v>
      </c>
      <c r="K10" s="16">
        <v>8</v>
      </c>
      <c r="L10" s="16">
        <v>7.5</v>
      </c>
      <c r="M10" s="16">
        <v>7.5</v>
      </c>
      <c r="N10" s="16">
        <v>7.5</v>
      </c>
      <c r="O10" s="12">
        <v>7.5</v>
      </c>
      <c r="P10" s="16">
        <v>76.5</v>
      </c>
      <c r="Q10" s="17">
        <v>76.5</v>
      </c>
      <c r="R10" s="34">
        <f>4</f>
        <v>4</v>
      </c>
      <c r="S10" s="35">
        <f>4</f>
        <v>4</v>
      </c>
      <c r="T10" s="16">
        <v>10.199999999999999</v>
      </c>
      <c r="U10" s="33" t="s">
        <v>137</v>
      </c>
      <c r="V10" s="27">
        <v>3.4</v>
      </c>
      <c r="W10" s="16">
        <v>4</v>
      </c>
      <c r="X10" s="16">
        <v>4.5</v>
      </c>
      <c r="Y10" s="16">
        <v>4.5</v>
      </c>
      <c r="Z10" s="16">
        <v>4</v>
      </c>
      <c r="AA10" s="16">
        <v>4</v>
      </c>
      <c r="AB10" s="16">
        <v>4.5</v>
      </c>
      <c r="AC10" s="12">
        <v>5</v>
      </c>
      <c r="AD10" s="16">
        <v>44.2</v>
      </c>
      <c r="AE10" s="17">
        <v>120.7</v>
      </c>
      <c r="AF10" s="34">
        <v>12</v>
      </c>
      <c r="AG10" s="35">
        <f>11</f>
        <v>11</v>
      </c>
      <c r="AH10" s="16">
        <v>51.9</v>
      </c>
      <c r="AI10" s="33" t="s">
        <v>174</v>
      </c>
      <c r="AJ10" s="27">
        <v>3.8</v>
      </c>
      <c r="AK10" s="16">
        <v>5</v>
      </c>
      <c r="AL10" s="16">
        <v>5.5</v>
      </c>
      <c r="AM10" s="16">
        <v>5.5</v>
      </c>
      <c r="AN10" s="16">
        <v>5.5</v>
      </c>
      <c r="AO10" s="16">
        <v>5</v>
      </c>
      <c r="AP10" s="16">
        <v>6</v>
      </c>
      <c r="AQ10" s="12">
        <v>5.5</v>
      </c>
      <c r="AR10" s="16">
        <v>62.7</v>
      </c>
      <c r="AS10" s="17">
        <v>183.4</v>
      </c>
      <c r="AT10" s="34">
        <v>8</v>
      </c>
      <c r="AU10" s="35">
        <v>12</v>
      </c>
      <c r="AV10" s="16">
        <v>84.75</v>
      </c>
      <c r="AW10" s="33" t="s">
        <v>5</v>
      </c>
      <c r="AX10" s="27">
        <v>3</v>
      </c>
      <c r="AY10" s="16">
        <v>6</v>
      </c>
      <c r="AZ10" s="16">
        <v>6.5</v>
      </c>
      <c r="BA10" s="16">
        <v>7</v>
      </c>
      <c r="BB10" s="16">
        <v>7</v>
      </c>
      <c r="BC10" s="16">
        <v>7</v>
      </c>
      <c r="BD10" s="16">
        <v>7</v>
      </c>
      <c r="BE10" s="12">
        <v>6.5</v>
      </c>
      <c r="BF10" s="16">
        <v>61.5</v>
      </c>
      <c r="BG10" s="17">
        <v>244.9</v>
      </c>
      <c r="BH10" s="34">
        <v>11</v>
      </c>
      <c r="BI10" s="35">
        <v>11</v>
      </c>
      <c r="BJ10" s="16">
        <v>112.5</v>
      </c>
      <c r="BK10" s="33" t="s">
        <v>164</v>
      </c>
      <c r="BL10" s="27">
        <v>3.5</v>
      </c>
      <c r="BM10" s="16">
        <v>7.5</v>
      </c>
      <c r="BN10" s="16">
        <v>7.5</v>
      </c>
      <c r="BO10" s="16">
        <v>7.5</v>
      </c>
      <c r="BP10" s="16">
        <v>7</v>
      </c>
      <c r="BQ10" s="16">
        <v>7</v>
      </c>
      <c r="BR10" s="16">
        <v>6.5</v>
      </c>
      <c r="BS10" s="12">
        <v>7</v>
      </c>
      <c r="BT10" s="16">
        <v>75.25</v>
      </c>
      <c r="BU10" s="17">
        <v>320.14999999999998</v>
      </c>
      <c r="BV10" s="34">
        <v>3</v>
      </c>
      <c r="BW10" s="35">
        <v>10</v>
      </c>
      <c r="BX10" s="16">
        <v>122.75</v>
      </c>
      <c r="BY10" s="33" t="s">
        <v>176</v>
      </c>
      <c r="BZ10" s="27">
        <v>3.5</v>
      </c>
      <c r="CA10" s="16">
        <v>7.5</v>
      </c>
      <c r="CB10" s="16">
        <v>7.5</v>
      </c>
      <c r="CC10" s="16">
        <v>7</v>
      </c>
      <c r="CD10" s="16">
        <v>6.5</v>
      </c>
      <c r="CE10" s="16">
        <v>7</v>
      </c>
      <c r="CF10" s="16">
        <v>7</v>
      </c>
      <c r="CG10" s="12">
        <v>7</v>
      </c>
      <c r="CH10" s="16">
        <v>73.5</v>
      </c>
      <c r="CI10" s="17">
        <v>393.65</v>
      </c>
      <c r="CJ10" s="34">
        <v>7</v>
      </c>
      <c r="CK10" s="35">
        <v>9</v>
      </c>
      <c r="CL10" s="16">
        <v>149.94999999999999</v>
      </c>
      <c r="CM10" s="32">
        <v>2024</v>
      </c>
      <c r="CN10" s="32" t="s">
        <v>175</v>
      </c>
      <c r="CO10" s="32" t="s">
        <v>10</v>
      </c>
    </row>
    <row r="11" spans="1:93" x14ac:dyDescent="0.35">
      <c r="A11" s="32">
        <v>10</v>
      </c>
      <c r="B11" s="32" t="s">
        <v>12</v>
      </c>
      <c r="C11" s="32" t="s">
        <v>187</v>
      </c>
      <c r="D11" s="32">
        <v>25</v>
      </c>
      <c r="E11" s="15">
        <v>383.4</v>
      </c>
      <c r="F11" s="15">
        <v>160.19999999999999</v>
      </c>
      <c r="G11" s="33" t="s">
        <v>7</v>
      </c>
      <c r="H11" s="27">
        <v>3.1</v>
      </c>
      <c r="I11" s="16">
        <v>7</v>
      </c>
      <c r="J11" s="16">
        <v>7</v>
      </c>
      <c r="K11" s="16">
        <v>7</v>
      </c>
      <c r="L11" s="16">
        <v>7</v>
      </c>
      <c r="M11" s="16">
        <v>7</v>
      </c>
      <c r="N11" s="16">
        <v>7</v>
      </c>
      <c r="O11" s="12">
        <v>7.5</v>
      </c>
      <c r="P11" s="16">
        <v>65.099999999999994</v>
      </c>
      <c r="Q11" s="17">
        <v>65.099999999999994</v>
      </c>
      <c r="R11" s="34">
        <v>11</v>
      </c>
      <c r="S11" s="35">
        <v>11</v>
      </c>
      <c r="T11" s="16">
        <v>21.6</v>
      </c>
      <c r="U11" s="33" t="s">
        <v>13</v>
      </c>
      <c r="V11" s="27">
        <v>3.4</v>
      </c>
      <c r="W11" s="16">
        <v>7.5</v>
      </c>
      <c r="X11" s="16">
        <v>7.5</v>
      </c>
      <c r="Y11" s="16">
        <v>8</v>
      </c>
      <c r="Z11" s="16">
        <v>7.5</v>
      </c>
      <c r="AA11" s="16">
        <v>7</v>
      </c>
      <c r="AB11" s="16">
        <v>7.5</v>
      </c>
      <c r="AC11" s="12">
        <v>7.5</v>
      </c>
      <c r="AD11" s="16">
        <v>76.5</v>
      </c>
      <c r="AE11" s="17">
        <v>141.6</v>
      </c>
      <c r="AF11" s="34">
        <v>7</v>
      </c>
      <c r="AG11" s="35">
        <v>8</v>
      </c>
      <c r="AH11" s="16">
        <v>31</v>
      </c>
      <c r="AI11" s="33" t="s">
        <v>164</v>
      </c>
      <c r="AJ11" s="27">
        <v>3.5</v>
      </c>
      <c r="AK11" s="16">
        <v>5</v>
      </c>
      <c r="AL11" s="16">
        <v>5</v>
      </c>
      <c r="AM11" s="16">
        <v>5</v>
      </c>
      <c r="AN11" s="16">
        <v>5</v>
      </c>
      <c r="AO11" s="16">
        <v>5.5</v>
      </c>
      <c r="AP11" s="16">
        <v>5</v>
      </c>
      <c r="AQ11" s="12">
        <v>4.5</v>
      </c>
      <c r="AR11" s="16">
        <v>52.5</v>
      </c>
      <c r="AS11" s="17">
        <v>194.1</v>
      </c>
      <c r="AT11" s="34">
        <v>9</v>
      </c>
      <c r="AU11" s="35">
        <v>9</v>
      </c>
      <c r="AV11" s="16">
        <v>74.05</v>
      </c>
      <c r="AW11" s="33" t="s">
        <v>139</v>
      </c>
      <c r="AX11" s="27">
        <v>3.6</v>
      </c>
      <c r="AY11" s="16">
        <v>6.5</v>
      </c>
      <c r="AZ11" s="16">
        <v>6.5</v>
      </c>
      <c r="BA11" s="16">
        <v>6</v>
      </c>
      <c r="BB11" s="16">
        <v>5.5</v>
      </c>
      <c r="BC11" s="16">
        <v>6</v>
      </c>
      <c r="BD11" s="16">
        <v>5.5</v>
      </c>
      <c r="BE11" s="12">
        <v>6</v>
      </c>
      <c r="BF11" s="16">
        <v>64.8</v>
      </c>
      <c r="BG11" s="17">
        <v>258.89999999999998</v>
      </c>
      <c r="BH11" s="34">
        <v>10</v>
      </c>
      <c r="BI11" s="35">
        <v>9</v>
      </c>
      <c r="BJ11" s="16">
        <v>98.5</v>
      </c>
      <c r="BK11" s="33" t="s">
        <v>137</v>
      </c>
      <c r="BL11" s="27">
        <v>3.4</v>
      </c>
      <c r="BM11" s="16">
        <v>5.5</v>
      </c>
      <c r="BN11" s="16">
        <v>5.5</v>
      </c>
      <c r="BO11" s="16">
        <v>5.5</v>
      </c>
      <c r="BP11" s="16">
        <v>5.5</v>
      </c>
      <c r="BQ11" s="16">
        <v>5.5</v>
      </c>
      <c r="BR11" s="16">
        <v>5</v>
      </c>
      <c r="BS11" s="12">
        <v>5.5</v>
      </c>
      <c r="BT11" s="16">
        <v>56.1</v>
      </c>
      <c r="BU11" s="17">
        <v>315</v>
      </c>
      <c r="BV11" s="34">
        <v>12</v>
      </c>
      <c r="BW11" s="35">
        <v>11</v>
      </c>
      <c r="BX11" s="16">
        <v>127.9</v>
      </c>
      <c r="BY11" s="33" t="s">
        <v>174</v>
      </c>
      <c r="BZ11" s="27">
        <v>3.8</v>
      </c>
      <c r="CA11" s="16">
        <v>6</v>
      </c>
      <c r="CB11" s="16">
        <v>6</v>
      </c>
      <c r="CC11" s="16">
        <v>6</v>
      </c>
      <c r="CD11" s="16">
        <v>6</v>
      </c>
      <c r="CE11" s="16">
        <v>6</v>
      </c>
      <c r="CF11" s="16">
        <v>7</v>
      </c>
      <c r="CG11" s="12">
        <v>6.5</v>
      </c>
      <c r="CH11" s="16">
        <v>68.400000000000006</v>
      </c>
      <c r="CI11" s="17">
        <v>383.4</v>
      </c>
      <c r="CJ11" s="34">
        <v>10</v>
      </c>
      <c r="CK11" s="35">
        <v>10</v>
      </c>
      <c r="CL11" s="16">
        <v>160.19999999999999</v>
      </c>
      <c r="CM11" s="32">
        <v>2024</v>
      </c>
      <c r="CN11" s="32" t="s">
        <v>175</v>
      </c>
      <c r="CO11" s="32" t="s">
        <v>10</v>
      </c>
    </row>
    <row r="12" spans="1:93" x14ac:dyDescent="0.35">
      <c r="A12" s="32">
        <v>11</v>
      </c>
      <c r="B12" s="32" t="s">
        <v>188</v>
      </c>
      <c r="C12" s="32" t="s">
        <v>192</v>
      </c>
      <c r="D12" s="32">
        <v>26</v>
      </c>
      <c r="E12" s="15">
        <v>374.15</v>
      </c>
      <c r="F12" s="15">
        <v>169.45</v>
      </c>
      <c r="G12" s="33" t="s">
        <v>13</v>
      </c>
      <c r="H12" s="27">
        <v>3.4</v>
      </c>
      <c r="I12" s="16">
        <v>7</v>
      </c>
      <c r="J12" s="16">
        <v>7</v>
      </c>
      <c r="K12" s="16">
        <v>7.5</v>
      </c>
      <c r="L12" s="16">
        <v>7</v>
      </c>
      <c r="M12" s="16">
        <v>7</v>
      </c>
      <c r="N12" s="16">
        <v>7.5</v>
      </c>
      <c r="O12" s="12">
        <v>7</v>
      </c>
      <c r="P12" s="16">
        <v>71.400000000000006</v>
      </c>
      <c r="Q12" s="17">
        <v>71.400000000000006</v>
      </c>
      <c r="R12" s="34">
        <v>10</v>
      </c>
      <c r="S12" s="35">
        <v>10</v>
      </c>
      <c r="T12" s="16">
        <v>15.3</v>
      </c>
      <c r="U12" s="33" t="s">
        <v>137</v>
      </c>
      <c r="V12" s="27">
        <v>3.4</v>
      </c>
      <c r="W12" s="16">
        <v>6.5</v>
      </c>
      <c r="X12" s="16">
        <v>6.5</v>
      </c>
      <c r="Y12" s="16">
        <v>7.5</v>
      </c>
      <c r="Z12" s="16">
        <v>6.5</v>
      </c>
      <c r="AA12" s="16">
        <v>6.5</v>
      </c>
      <c r="AB12" s="16">
        <v>7</v>
      </c>
      <c r="AC12" s="12">
        <v>7</v>
      </c>
      <c r="AD12" s="16">
        <v>68</v>
      </c>
      <c r="AE12" s="17">
        <v>139.4</v>
      </c>
      <c r="AF12" s="34">
        <v>9</v>
      </c>
      <c r="AG12" s="35">
        <v>10</v>
      </c>
      <c r="AH12" s="16">
        <v>33.200000000000003</v>
      </c>
      <c r="AI12" s="33" t="s">
        <v>174</v>
      </c>
      <c r="AJ12" s="27">
        <v>3.8</v>
      </c>
      <c r="AK12" s="16">
        <v>4</v>
      </c>
      <c r="AL12" s="16">
        <v>4</v>
      </c>
      <c r="AM12" s="16">
        <v>4</v>
      </c>
      <c r="AN12" s="16">
        <v>4</v>
      </c>
      <c r="AO12" s="16">
        <v>4</v>
      </c>
      <c r="AP12" s="16">
        <v>4</v>
      </c>
      <c r="AQ12" s="12">
        <v>4</v>
      </c>
      <c r="AR12" s="16">
        <v>45.6</v>
      </c>
      <c r="AS12" s="17">
        <v>185</v>
      </c>
      <c r="AT12" s="34">
        <v>10</v>
      </c>
      <c r="AU12" s="35">
        <v>11</v>
      </c>
      <c r="AV12" s="16">
        <v>83.15</v>
      </c>
      <c r="AW12" s="33" t="s">
        <v>164</v>
      </c>
      <c r="AX12" s="27">
        <v>3.5</v>
      </c>
      <c r="AY12" s="16">
        <v>7</v>
      </c>
      <c r="AZ12" s="16">
        <v>7</v>
      </c>
      <c r="BA12" s="16">
        <v>7</v>
      </c>
      <c r="BB12" s="16">
        <v>7</v>
      </c>
      <c r="BC12" s="16">
        <v>6.5</v>
      </c>
      <c r="BD12" s="16">
        <v>7</v>
      </c>
      <c r="BE12" s="12">
        <v>7</v>
      </c>
      <c r="BF12" s="16">
        <v>73.5</v>
      </c>
      <c r="BG12" s="17">
        <v>258.5</v>
      </c>
      <c r="BH12" s="34">
        <v>5</v>
      </c>
      <c r="BI12" s="35">
        <v>10</v>
      </c>
      <c r="BJ12" s="16">
        <v>98.9</v>
      </c>
      <c r="BK12" s="33" t="s">
        <v>5</v>
      </c>
      <c r="BL12" s="27">
        <v>3</v>
      </c>
      <c r="BM12" s="16">
        <v>7</v>
      </c>
      <c r="BN12" s="16">
        <v>7</v>
      </c>
      <c r="BO12" s="16">
        <v>7.5</v>
      </c>
      <c r="BP12" s="16">
        <v>7.5</v>
      </c>
      <c r="BQ12" s="16">
        <v>7</v>
      </c>
      <c r="BR12" s="16">
        <v>7</v>
      </c>
      <c r="BS12" s="12">
        <v>7</v>
      </c>
      <c r="BT12" s="16">
        <v>63</v>
      </c>
      <c r="BU12" s="17">
        <v>321.5</v>
      </c>
      <c r="BV12" s="34">
        <v>9</v>
      </c>
      <c r="BW12" s="35">
        <v>9</v>
      </c>
      <c r="BX12" s="16">
        <v>121.4</v>
      </c>
      <c r="BY12" s="33" t="s">
        <v>177</v>
      </c>
      <c r="BZ12" s="27">
        <v>3.9</v>
      </c>
      <c r="CA12" s="16">
        <v>4</v>
      </c>
      <c r="CB12" s="16">
        <v>4.5</v>
      </c>
      <c r="CC12" s="16">
        <v>4.5</v>
      </c>
      <c r="CD12" s="16">
        <v>4</v>
      </c>
      <c r="CE12" s="16">
        <v>4.5</v>
      </c>
      <c r="CF12" s="16">
        <v>4.5</v>
      </c>
      <c r="CG12" s="12">
        <v>4.5</v>
      </c>
      <c r="CH12" s="16">
        <v>52.65</v>
      </c>
      <c r="CI12" s="17">
        <v>374.15</v>
      </c>
      <c r="CJ12" s="34">
        <v>11</v>
      </c>
      <c r="CK12" s="35">
        <v>11</v>
      </c>
      <c r="CL12" s="16">
        <v>169.45</v>
      </c>
      <c r="CM12" s="32">
        <v>2024</v>
      </c>
      <c r="CN12" s="32" t="s">
        <v>175</v>
      </c>
      <c r="CO12" s="32" t="s">
        <v>10</v>
      </c>
    </row>
    <row r="13" spans="1:93" x14ac:dyDescent="0.35">
      <c r="A13" s="32">
        <v>12</v>
      </c>
      <c r="B13" s="32" t="s">
        <v>20</v>
      </c>
      <c r="C13" s="32" t="s">
        <v>189</v>
      </c>
      <c r="D13" s="32">
        <v>22</v>
      </c>
      <c r="E13" s="15">
        <v>363.65</v>
      </c>
      <c r="F13" s="15">
        <v>179.95</v>
      </c>
      <c r="G13" s="33" t="s">
        <v>137</v>
      </c>
      <c r="H13" s="27">
        <v>3.4</v>
      </c>
      <c r="I13" s="16">
        <v>7</v>
      </c>
      <c r="J13" s="16">
        <v>7</v>
      </c>
      <c r="K13" s="16">
        <v>7.5</v>
      </c>
      <c r="L13" s="16">
        <v>7.5</v>
      </c>
      <c r="M13" s="16">
        <v>7.5</v>
      </c>
      <c r="N13" s="16">
        <v>7</v>
      </c>
      <c r="O13" s="12">
        <v>7.5</v>
      </c>
      <c r="P13" s="16">
        <v>74.8</v>
      </c>
      <c r="Q13" s="17">
        <v>74.8</v>
      </c>
      <c r="R13" s="34">
        <f>7</f>
        <v>7</v>
      </c>
      <c r="S13" s="35">
        <f>7</f>
        <v>7</v>
      </c>
      <c r="T13" s="16">
        <v>11.9</v>
      </c>
      <c r="U13" s="33" t="s">
        <v>13</v>
      </c>
      <c r="V13" s="27">
        <v>3.4</v>
      </c>
      <c r="W13" s="16">
        <v>7.5</v>
      </c>
      <c r="X13" s="16">
        <v>7.5</v>
      </c>
      <c r="Y13" s="16">
        <v>8</v>
      </c>
      <c r="Z13" s="16">
        <v>8</v>
      </c>
      <c r="AA13" s="16">
        <v>8</v>
      </c>
      <c r="AB13" s="16">
        <v>7.5</v>
      </c>
      <c r="AC13" s="12">
        <v>7.5</v>
      </c>
      <c r="AD13" s="16">
        <v>78.2</v>
      </c>
      <c r="AE13" s="17">
        <v>153</v>
      </c>
      <c r="AF13" s="34">
        <v>6</v>
      </c>
      <c r="AG13" s="35">
        <v>6</v>
      </c>
      <c r="AH13" s="16">
        <v>19.600000000000001</v>
      </c>
      <c r="AI13" s="33" t="s">
        <v>164</v>
      </c>
      <c r="AJ13" s="27">
        <v>3.5</v>
      </c>
      <c r="AK13" s="16">
        <v>4</v>
      </c>
      <c r="AL13" s="16">
        <v>4</v>
      </c>
      <c r="AM13" s="16">
        <v>3.5</v>
      </c>
      <c r="AN13" s="16">
        <v>3.5</v>
      </c>
      <c r="AO13" s="16">
        <v>3.5</v>
      </c>
      <c r="AP13" s="16">
        <v>4</v>
      </c>
      <c r="AQ13" s="12">
        <v>4.5</v>
      </c>
      <c r="AR13" s="16">
        <v>40.25</v>
      </c>
      <c r="AS13" s="17">
        <v>193.25</v>
      </c>
      <c r="AT13" s="34">
        <v>11</v>
      </c>
      <c r="AU13" s="35">
        <v>10</v>
      </c>
      <c r="AV13" s="16">
        <v>74.900000000000006</v>
      </c>
      <c r="AW13" s="33" t="s">
        <v>139</v>
      </c>
      <c r="AX13" s="27">
        <v>3.6</v>
      </c>
      <c r="AY13" s="16">
        <v>4</v>
      </c>
      <c r="AZ13" s="16">
        <v>4.5</v>
      </c>
      <c r="BA13" s="16">
        <v>3.5</v>
      </c>
      <c r="BB13" s="16">
        <v>3</v>
      </c>
      <c r="BC13" s="16">
        <v>4</v>
      </c>
      <c r="BD13" s="16">
        <v>4</v>
      </c>
      <c r="BE13" s="12">
        <v>4</v>
      </c>
      <c r="BF13" s="16">
        <v>43.2</v>
      </c>
      <c r="BG13" s="17">
        <v>236.45</v>
      </c>
      <c r="BH13" s="34">
        <v>12</v>
      </c>
      <c r="BI13" s="35">
        <v>12</v>
      </c>
      <c r="BJ13" s="16">
        <v>120.95</v>
      </c>
      <c r="BK13" s="33" t="s">
        <v>174</v>
      </c>
      <c r="BL13" s="27">
        <v>3.8</v>
      </c>
      <c r="BM13" s="16">
        <v>4.5</v>
      </c>
      <c r="BN13" s="16">
        <v>5</v>
      </c>
      <c r="BO13" s="16">
        <v>5</v>
      </c>
      <c r="BP13" s="16">
        <v>5.5</v>
      </c>
      <c r="BQ13" s="16">
        <v>5</v>
      </c>
      <c r="BR13" s="16">
        <v>5</v>
      </c>
      <c r="BS13" s="12">
        <v>5</v>
      </c>
      <c r="BT13" s="16">
        <v>57</v>
      </c>
      <c r="BU13" s="17">
        <v>293.45</v>
      </c>
      <c r="BV13" s="34">
        <v>11</v>
      </c>
      <c r="BW13" s="35">
        <v>12</v>
      </c>
      <c r="BX13" s="16">
        <v>149.44999999999999</v>
      </c>
      <c r="BY13" s="33" t="s">
        <v>177</v>
      </c>
      <c r="BZ13" s="27">
        <v>3.9</v>
      </c>
      <c r="CA13" s="16">
        <v>6</v>
      </c>
      <c r="CB13" s="16">
        <v>6</v>
      </c>
      <c r="CC13" s="16">
        <v>6</v>
      </c>
      <c r="CD13" s="16">
        <v>6</v>
      </c>
      <c r="CE13" s="16">
        <v>6</v>
      </c>
      <c r="CF13" s="16">
        <v>6.5</v>
      </c>
      <c r="CG13" s="12">
        <v>6</v>
      </c>
      <c r="CH13" s="16">
        <v>70.2</v>
      </c>
      <c r="CI13" s="17">
        <v>363.65</v>
      </c>
      <c r="CJ13" s="34">
        <f>8</f>
        <v>8</v>
      </c>
      <c r="CK13" s="35">
        <v>12</v>
      </c>
      <c r="CL13" s="16">
        <v>179.95</v>
      </c>
      <c r="CM13" s="32">
        <v>2024</v>
      </c>
      <c r="CN13" s="32" t="s">
        <v>175</v>
      </c>
      <c r="CO13" s="32" t="s">
        <v>10</v>
      </c>
    </row>
    <row r="14" spans="1:93" x14ac:dyDescent="0.35">
      <c r="A14" s="31">
        <v>1</v>
      </c>
      <c r="B14" s="31" t="s">
        <v>3</v>
      </c>
      <c r="C14" s="31" t="s">
        <v>190</v>
      </c>
      <c r="D14" s="31">
        <v>25</v>
      </c>
      <c r="E14" s="10">
        <v>558.75</v>
      </c>
      <c r="F14" s="15">
        <v>0</v>
      </c>
      <c r="G14" s="33" t="s">
        <v>13</v>
      </c>
      <c r="H14" s="27">
        <v>3.4</v>
      </c>
      <c r="I14" s="16">
        <v>9</v>
      </c>
      <c r="J14" s="16">
        <v>9</v>
      </c>
      <c r="K14" s="16">
        <v>9</v>
      </c>
      <c r="L14" s="16">
        <v>9</v>
      </c>
      <c r="M14" s="16">
        <v>9</v>
      </c>
      <c r="N14" s="16">
        <v>9</v>
      </c>
      <c r="O14" s="12">
        <v>9</v>
      </c>
      <c r="P14" s="16">
        <v>91.8</v>
      </c>
      <c r="Q14" s="17">
        <v>91.8</v>
      </c>
      <c r="R14" s="34">
        <v>1</v>
      </c>
      <c r="S14" s="35">
        <v>1</v>
      </c>
      <c r="T14" s="16">
        <v>0</v>
      </c>
      <c r="U14" s="33" t="s">
        <v>172</v>
      </c>
      <c r="V14" s="27">
        <v>3.3</v>
      </c>
      <c r="W14" s="16">
        <v>9</v>
      </c>
      <c r="X14" s="16">
        <v>9</v>
      </c>
      <c r="Y14" s="16">
        <v>9</v>
      </c>
      <c r="Z14" s="16">
        <v>9</v>
      </c>
      <c r="AA14" s="16">
        <v>9</v>
      </c>
      <c r="AB14" s="16">
        <v>9</v>
      </c>
      <c r="AC14" s="12">
        <v>9</v>
      </c>
      <c r="AD14" s="16">
        <v>89.1</v>
      </c>
      <c r="AE14" s="17">
        <v>180.9</v>
      </c>
      <c r="AF14" s="34">
        <v>1</v>
      </c>
      <c r="AG14" s="35">
        <v>1</v>
      </c>
      <c r="AH14" s="16">
        <v>0</v>
      </c>
      <c r="AI14" s="33" t="s">
        <v>139</v>
      </c>
      <c r="AJ14" s="27">
        <v>3.6</v>
      </c>
      <c r="AK14" s="16">
        <v>8.5</v>
      </c>
      <c r="AL14" s="16">
        <v>8.5</v>
      </c>
      <c r="AM14" s="16">
        <v>8</v>
      </c>
      <c r="AN14" s="16">
        <v>8</v>
      </c>
      <c r="AO14" s="16">
        <v>8</v>
      </c>
      <c r="AP14" s="16">
        <v>8</v>
      </c>
      <c r="AQ14" s="12">
        <v>8</v>
      </c>
      <c r="AR14" s="16">
        <v>86.4</v>
      </c>
      <c r="AS14" s="17">
        <v>267.3</v>
      </c>
      <c r="AT14" s="34">
        <v>2</v>
      </c>
      <c r="AU14" s="35">
        <v>1</v>
      </c>
      <c r="AV14" s="16">
        <v>0</v>
      </c>
      <c r="AW14" s="33" t="s">
        <v>164</v>
      </c>
      <c r="AX14" s="27">
        <v>3.5</v>
      </c>
      <c r="AY14" s="16">
        <v>8.5</v>
      </c>
      <c r="AZ14" s="16">
        <v>9.5</v>
      </c>
      <c r="BA14" s="16">
        <v>9</v>
      </c>
      <c r="BB14" s="16">
        <v>9</v>
      </c>
      <c r="BC14" s="16">
        <v>9</v>
      </c>
      <c r="BD14" s="16">
        <v>9</v>
      </c>
      <c r="BE14" s="12">
        <v>9.5</v>
      </c>
      <c r="BF14" s="16">
        <v>94.5</v>
      </c>
      <c r="BG14" s="17">
        <v>361.8</v>
      </c>
      <c r="BH14" s="34">
        <v>1</v>
      </c>
      <c r="BI14" s="35">
        <v>1</v>
      </c>
      <c r="BJ14" s="16">
        <v>0</v>
      </c>
      <c r="BK14" s="33" t="s">
        <v>173</v>
      </c>
      <c r="BL14" s="27">
        <v>3.7</v>
      </c>
      <c r="BM14" s="16">
        <v>8.5</v>
      </c>
      <c r="BN14" s="16">
        <v>8.5</v>
      </c>
      <c r="BO14" s="16">
        <v>8.5</v>
      </c>
      <c r="BP14" s="16">
        <v>9</v>
      </c>
      <c r="BQ14" s="16">
        <v>9</v>
      </c>
      <c r="BR14" s="16">
        <v>8.5</v>
      </c>
      <c r="BS14" s="12">
        <v>8.5</v>
      </c>
      <c r="BT14" s="16">
        <v>94.35</v>
      </c>
      <c r="BU14" s="17">
        <v>456.15</v>
      </c>
      <c r="BV14" s="34">
        <v>2</v>
      </c>
      <c r="BW14" s="35">
        <v>1</v>
      </c>
      <c r="BX14" s="16">
        <v>0</v>
      </c>
      <c r="BY14" s="33" t="s">
        <v>174</v>
      </c>
      <c r="BZ14" s="27">
        <v>3.8</v>
      </c>
      <c r="CA14" s="16">
        <v>9</v>
      </c>
      <c r="CB14" s="16">
        <v>8.5</v>
      </c>
      <c r="CC14" s="16">
        <v>9</v>
      </c>
      <c r="CD14" s="16">
        <v>9</v>
      </c>
      <c r="CE14" s="16">
        <v>9</v>
      </c>
      <c r="CF14" s="16">
        <v>9</v>
      </c>
      <c r="CG14" s="12">
        <v>9</v>
      </c>
      <c r="CH14" s="16">
        <v>102.6</v>
      </c>
      <c r="CI14" s="17">
        <v>558.75</v>
      </c>
      <c r="CJ14" s="34">
        <f>1</f>
        <v>1</v>
      </c>
      <c r="CK14" s="35">
        <v>1</v>
      </c>
      <c r="CL14" s="16">
        <v>0</v>
      </c>
      <c r="CM14" s="32">
        <v>2020</v>
      </c>
      <c r="CN14" s="32" t="s">
        <v>175</v>
      </c>
      <c r="CO14" s="32" t="s">
        <v>10</v>
      </c>
    </row>
    <row r="15" spans="1:93" x14ac:dyDescent="0.35">
      <c r="A15" s="32">
        <v>2</v>
      </c>
      <c r="B15" s="32" t="s">
        <v>3</v>
      </c>
      <c r="C15" s="32" t="s">
        <v>191</v>
      </c>
      <c r="D15" s="32">
        <v>19</v>
      </c>
      <c r="E15" s="15">
        <v>534.9</v>
      </c>
      <c r="F15" s="15">
        <v>23.85</v>
      </c>
      <c r="G15" s="33" t="s">
        <v>137</v>
      </c>
      <c r="H15" s="27">
        <v>3.4</v>
      </c>
      <c r="I15" s="16">
        <v>8.5</v>
      </c>
      <c r="J15" s="16">
        <v>8.5</v>
      </c>
      <c r="K15" s="16">
        <v>8.5</v>
      </c>
      <c r="L15" s="16">
        <v>8.5</v>
      </c>
      <c r="M15" s="16">
        <v>9</v>
      </c>
      <c r="N15" s="16">
        <v>8.5</v>
      </c>
      <c r="O15" s="12">
        <v>8.5</v>
      </c>
      <c r="P15" s="16">
        <v>86.7</v>
      </c>
      <c r="Q15" s="17">
        <v>86.7</v>
      </c>
      <c r="R15" s="34">
        <v>2</v>
      </c>
      <c r="S15" s="35">
        <v>2</v>
      </c>
      <c r="T15" s="16">
        <v>5.0999999999999996</v>
      </c>
      <c r="U15" s="33" t="s">
        <v>176</v>
      </c>
      <c r="V15" s="27">
        <v>3.5</v>
      </c>
      <c r="W15" s="16">
        <v>8</v>
      </c>
      <c r="X15" s="16">
        <v>8</v>
      </c>
      <c r="Y15" s="16">
        <v>7</v>
      </c>
      <c r="Z15" s="16">
        <v>8</v>
      </c>
      <c r="AA15" s="16">
        <v>8</v>
      </c>
      <c r="AB15" s="16">
        <v>8</v>
      </c>
      <c r="AC15" s="12">
        <v>7.5</v>
      </c>
      <c r="AD15" s="16">
        <v>84</v>
      </c>
      <c r="AE15" s="17">
        <v>170.7</v>
      </c>
      <c r="AF15" s="34">
        <f>3</f>
        <v>3</v>
      </c>
      <c r="AG15" s="35">
        <v>3</v>
      </c>
      <c r="AH15" s="16">
        <v>10.199999999999999</v>
      </c>
      <c r="AI15" s="33" t="s">
        <v>177</v>
      </c>
      <c r="AJ15" s="27">
        <v>3.9</v>
      </c>
      <c r="AK15" s="16">
        <v>7</v>
      </c>
      <c r="AL15" s="16">
        <v>7.5</v>
      </c>
      <c r="AM15" s="16">
        <v>7.5</v>
      </c>
      <c r="AN15" s="16">
        <v>7.5</v>
      </c>
      <c r="AO15" s="16">
        <v>7</v>
      </c>
      <c r="AP15" s="16">
        <v>7.5</v>
      </c>
      <c r="AQ15" s="12">
        <v>7</v>
      </c>
      <c r="AR15" s="16">
        <v>85.8</v>
      </c>
      <c r="AS15" s="17">
        <v>256.5</v>
      </c>
      <c r="AT15" s="34">
        <v>3</v>
      </c>
      <c r="AU15" s="35">
        <v>2</v>
      </c>
      <c r="AV15" s="16">
        <v>10.8</v>
      </c>
      <c r="AW15" s="33" t="s">
        <v>164</v>
      </c>
      <c r="AX15" s="27">
        <v>3.5</v>
      </c>
      <c r="AY15" s="16">
        <v>8</v>
      </c>
      <c r="AZ15" s="16">
        <v>8</v>
      </c>
      <c r="BA15" s="16">
        <v>8.5</v>
      </c>
      <c r="BB15" s="16">
        <v>8</v>
      </c>
      <c r="BC15" s="16">
        <v>8</v>
      </c>
      <c r="BD15" s="16">
        <v>8</v>
      </c>
      <c r="BE15" s="12">
        <v>7.5</v>
      </c>
      <c r="BF15" s="16">
        <v>84</v>
      </c>
      <c r="BG15" s="17">
        <v>340.5</v>
      </c>
      <c r="BH15" s="34">
        <v>2</v>
      </c>
      <c r="BI15" s="35">
        <v>2</v>
      </c>
      <c r="BJ15" s="16">
        <v>21.3</v>
      </c>
      <c r="BK15" s="33" t="s">
        <v>139</v>
      </c>
      <c r="BL15" s="27">
        <v>3.6</v>
      </c>
      <c r="BM15" s="16">
        <v>8</v>
      </c>
      <c r="BN15" s="16">
        <v>9</v>
      </c>
      <c r="BO15" s="16">
        <v>8.5</v>
      </c>
      <c r="BP15" s="16">
        <v>8.5</v>
      </c>
      <c r="BQ15" s="16">
        <v>8</v>
      </c>
      <c r="BR15" s="16">
        <v>8.5</v>
      </c>
      <c r="BS15" s="12">
        <v>8.5</v>
      </c>
      <c r="BT15" s="16">
        <v>91.8</v>
      </c>
      <c r="BU15" s="17">
        <v>432.3</v>
      </c>
      <c r="BV15" s="34">
        <v>4</v>
      </c>
      <c r="BW15" s="35">
        <v>2</v>
      </c>
      <c r="BX15" s="16">
        <v>23.85</v>
      </c>
      <c r="BY15" s="33" t="s">
        <v>174</v>
      </c>
      <c r="BZ15" s="27">
        <v>3.8</v>
      </c>
      <c r="CA15" s="16">
        <v>9</v>
      </c>
      <c r="CB15" s="16">
        <v>9</v>
      </c>
      <c r="CC15" s="16">
        <v>9.5</v>
      </c>
      <c r="CD15" s="16">
        <v>9</v>
      </c>
      <c r="CE15" s="16">
        <v>9</v>
      </c>
      <c r="CF15" s="16">
        <v>9</v>
      </c>
      <c r="CG15" s="12">
        <v>9</v>
      </c>
      <c r="CH15" s="16">
        <v>102.6</v>
      </c>
      <c r="CI15" s="17">
        <v>534.9</v>
      </c>
      <c r="CJ15" s="34">
        <f>1</f>
        <v>1</v>
      </c>
      <c r="CK15" s="35">
        <v>2</v>
      </c>
      <c r="CL15" s="16">
        <v>23.85</v>
      </c>
      <c r="CM15" s="32">
        <v>2020</v>
      </c>
      <c r="CN15" s="32" t="s">
        <v>175</v>
      </c>
      <c r="CO15" s="32" t="s">
        <v>10</v>
      </c>
    </row>
    <row r="16" spans="1:93" x14ac:dyDescent="0.35">
      <c r="A16" s="32">
        <v>3</v>
      </c>
      <c r="B16" s="32" t="s">
        <v>17</v>
      </c>
      <c r="C16" s="32" t="s">
        <v>182</v>
      </c>
      <c r="D16" s="32">
        <v>26</v>
      </c>
      <c r="E16" s="15">
        <v>518</v>
      </c>
      <c r="F16" s="15">
        <v>40.75</v>
      </c>
      <c r="G16" s="33" t="s">
        <v>13</v>
      </c>
      <c r="H16" s="27">
        <v>3.4</v>
      </c>
      <c r="I16" s="16">
        <v>8</v>
      </c>
      <c r="J16" s="16">
        <v>8.5</v>
      </c>
      <c r="K16" s="16">
        <v>8.5</v>
      </c>
      <c r="L16" s="16">
        <v>8</v>
      </c>
      <c r="M16" s="16">
        <v>8</v>
      </c>
      <c r="N16" s="16">
        <v>8.5</v>
      </c>
      <c r="O16" s="12">
        <v>8.5</v>
      </c>
      <c r="P16" s="16">
        <v>85</v>
      </c>
      <c r="Q16" s="17">
        <v>85</v>
      </c>
      <c r="R16" s="34">
        <v>3</v>
      </c>
      <c r="S16" s="35">
        <v>3</v>
      </c>
      <c r="T16" s="16">
        <v>6.8</v>
      </c>
      <c r="U16" s="33" t="s">
        <v>164</v>
      </c>
      <c r="V16" s="27">
        <v>3.5</v>
      </c>
      <c r="W16" s="16">
        <v>8</v>
      </c>
      <c r="X16" s="16">
        <v>8</v>
      </c>
      <c r="Y16" s="16">
        <v>9</v>
      </c>
      <c r="Z16" s="16">
        <v>8</v>
      </c>
      <c r="AA16" s="16">
        <v>8</v>
      </c>
      <c r="AB16" s="16">
        <v>8.5</v>
      </c>
      <c r="AC16" s="12">
        <v>8.5</v>
      </c>
      <c r="AD16" s="16">
        <v>85.75</v>
      </c>
      <c r="AE16" s="17">
        <v>170.75</v>
      </c>
      <c r="AF16" s="34">
        <v>2</v>
      </c>
      <c r="AG16" s="35">
        <v>2</v>
      </c>
      <c r="AH16" s="16">
        <v>10.15</v>
      </c>
      <c r="AI16" s="33" t="s">
        <v>137</v>
      </c>
      <c r="AJ16" s="27">
        <v>3.4</v>
      </c>
      <c r="AK16" s="16">
        <v>7.5</v>
      </c>
      <c r="AL16" s="16">
        <v>8</v>
      </c>
      <c r="AM16" s="16">
        <v>8</v>
      </c>
      <c r="AN16" s="16">
        <v>8</v>
      </c>
      <c r="AO16" s="16">
        <v>8</v>
      </c>
      <c r="AP16" s="16">
        <v>8</v>
      </c>
      <c r="AQ16" s="12">
        <v>7.5</v>
      </c>
      <c r="AR16" s="16">
        <v>81.599999999999994</v>
      </c>
      <c r="AS16" s="17">
        <v>252.35</v>
      </c>
      <c r="AT16" s="34">
        <v>4</v>
      </c>
      <c r="AU16" s="35">
        <v>3</v>
      </c>
      <c r="AV16" s="16">
        <v>14.95</v>
      </c>
      <c r="AW16" s="33" t="s">
        <v>139</v>
      </c>
      <c r="AX16" s="27">
        <v>3.6</v>
      </c>
      <c r="AY16" s="16">
        <v>7.5</v>
      </c>
      <c r="AZ16" s="16">
        <v>8</v>
      </c>
      <c r="BA16" s="16">
        <v>7.5</v>
      </c>
      <c r="BB16" s="16">
        <v>8</v>
      </c>
      <c r="BC16" s="16">
        <v>7.5</v>
      </c>
      <c r="BD16" s="16">
        <v>7.5</v>
      </c>
      <c r="BE16" s="12">
        <v>7.5</v>
      </c>
      <c r="BF16" s="16">
        <v>81</v>
      </c>
      <c r="BG16" s="17">
        <v>333.35</v>
      </c>
      <c r="BH16" s="34">
        <v>4</v>
      </c>
      <c r="BI16" s="35">
        <v>3</v>
      </c>
      <c r="BJ16" s="16">
        <v>28.45</v>
      </c>
      <c r="BK16" s="33" t="s">
        <v>174</v>
      </c>
      <c r="BL16" s="27">
        <v>3.8</v>
      </c>
      <c r="BM16" s="16">
        <v>8.5</v>
      </c>
      <c r="BN16" s="16">
        <v>8.5</v>
      </c>
      <c r="BO16" s="16">
        <v>8</v>
      </c>
      <c r="BP16" s="16">
        <v>8</v>
      </c>
      <c r="BQ16" s="16">
        <v>8.5</v>
      </c>
      <c r="BR16" s="16">
        <v>9</v>
      </c>
      <c r="BS16" s="12">
        <v>9</v>
      </c>
      <c r="BT16" s="16">
        <v>96.9</v>
      </c>
      <c r="BU16" s="17">
        <v>430.25</v>
      </c>
      <c r="BV16" s="34">
        <v>1</v>
      </c>
      <c r="BW16" s="35">
        <v>3</v>
      </c>
      <c r="BX16" s="16">
        <v>25.9</v>
      </c>
      <c r="BY16" s="33" t="s">
        <v>177</v>
      </c>
      <c r="BZ16" s="27">
        <v>3.9</v>
      </c>
      <c r="CA16" s="16">
        <v>8</v>
      </c>
      <c r="CB16" s="16">
        <v>7.5</v>
      </c>
      <c r="CC16" s="16">
        <v>7.5</v>
      </c>
      <c r="CD16" s="16">
        <v>7</v>
      </c>
      <c r="CE16" s="16">
        <v>7</v>
      </c>
      <c r="CF16" s="16">
        <v>7.5</v>
      </c>
      <c r="CG16" s="12">
        <v>7.5</v>
      </c>
      <c r="CH16" s="16">
        <v>87.75</v>
      </c>
      <c r="CI16" s="17">
        <v>518</v>
      </c>
      <c r="CJ16" s="34">
        <v>5</v>
      </c>
      <c r="CK16" s="35">
        <v>3</v>
      </c>
      <c r="CL16" s="16">
        <v>40.75</v>
      </c>
      <c r="CM16" s="32">
        <v>2020</v>
      </c>
      <c r="CN16" s="32" t="s">
        <v>175</v>
      </c>
      <c r="CO16" s="32" t="s">
        <v>10</v>
      </c>
    </row>
    <row r="17" spans="1:93" x14ac:dyDescent="0.35">
      <c r="A17" s="32">
        <v>4</v>
      </c>
      <c r="B17" s="32" t="s">
        <v>188</v>
      </c>
      <c r="C17" s="32" t="s">
        <v>192</v>
      </c>
      <c r="D17" s="32">
        <v>23</v>
      </c>
      <c r="E17" s="15">
        <v>481.85</v>
      </c>
      <c r="F17" s="15">
        <v>76.900000000000006</v>
      </c>
      <c r="G17" s="33" t="s">
        <v>13</v>
      </c>
      <c r="H17" s="27">
        <v>3.4</v>
      </c>
      <c r="I17" s="16">
        <v>7.5</v>
      </c>
      <c r="J17" s="16">
        <v>7.5</v>
      </c>
      <c r="K17" s="16">
        <v>7.5</v>
      </c>
      <c r="L17" s="16">
        <v>7.5</v>
      </c>
      <c r="M17" s="16">
        <v>7.5</v>
      </c>
      <c r="N17" s="16">
        <v>7</v>
      </c>
      <c r="O17" s="12">
        <v>7.5</v>
      </c>
      <c r="P17" s="16">
        <v>76.5</v>
      </c>
      <c r="Q17" s="17">
        <v>76.5</v>
      </c>
      <c r="R17" s="34">
        <f>5</f>
        <v>5</v>
      </c>
      <c r="S17" s="35">
        <f>5</f>
        <v>5</v>
      </c>
      <c r="T17" s="16">
        <v>15.3</v>
      </c>
      <c r="U17" s="33" t="s">
        <v>137</v>
      </c>
      <c r="V17" s="27">
        <v>3.4</v>
      </c>
      <c r="W17" s="16">
        <v>8</v>
      </c>
      <c r="X17" s="16">
        <v>8</v>
      </c>
      <c r="Y17" s="16">
        <v>8</v>
      </c>
      <c r="Z17" s="16">
        <v>8.5</v>
      </c>
      <c r="AA17" s="16">
        <v>8.5</v>
      </c>
      <c r="AB17" s="16">
        <v>8</v>
      </c>
      <c r="AC17" s="12">
        <v>8</v>
      </c>
      <c r="AD17" s="16">
        <v>81.599999999999994</v>
      </c>
      <c r="AE17" s="17">
        <v>158.1</v>
      </c>
      <c r="AF17" s="34">
        <v>5</v>
      </c>
      <c r="AG17" s="35">
        <v>5</v>
      </c>
      <c r="AH17" s="16">
        <v>22.8</v>
      </c>
      <c r="AI17" s="33" t="s">
        <v>174</v>
      </c>
      <c r="AJ17" s="27">
        <v>3.8</v>
      </c>
      <c r="AK17" s="16">
        <v>8</v>
      </c>
      <c r="AL17" s="16">
        <v>8</v>
      </c>
      <c r="AM17" s="16">
        <v>8</v>
      </c>
      <c r="AN17" s="16">
        <v>8.5</v>
      </c>
      <c r="AO17" s="16">
        <v>8</v>
      </c>
      <c r="AP17" s="16">
        <v>8</v>
      </c>
      <c r="AQ17" s="12">
        <v>8</v>
      </c>
      <c r="AR17" s="16">
        <v>91.2</v>
      </c>
      <c r="AS17" s="17">
        <v>249.3</v>
      </c>
      <c r="AT17" s="34">
        <v>1</v>
      </c>
      <c r="AU17" s="35">
        <v>4</v>
      </c>
      <c r="AV17" s="16">
        <v>18</v>
      </c>
      <c r="AW17" s="33" t="s">
        <v>164</v>
      </c>
      <c r="AX17" s="27">
        <v>3.5</v>
      </c>
      <c r="AY17" s="16">
        <v>7</v>
      </c>
      <c r="AZ17" s="16">
        <v>8</v>
      </c>
      <c r="BA17" s="16">
        <v>8</v>
      </c>
      <c r="BB17" s="16">
        <v>7.5</v>
      </c>
      <c r="BC17" s="16">
        <v>8</v>
      </c>
      <c r="BD17" s="16">
        <v>7.5</v>
      </c>
      <c r="BE17" s="12">
        <v>8</v>
      </c>
      <c r="BF17" s="16">
        <v>82.25</v>
      </c>
      <c r="BG17" s="17">
        <v>331.55</v>
      </c>
      <c r="BH17" s="34">
        <v>3</v>
      </c>
      <c r="BI17" s="35">
        <v>4</v>
      </c>
      <c r="BJ17" s="16">
        <v>30.25</v>
      </c>
      <c r="BK17" s="33" t="s">
        <v>139</v>
      </c>
      <c r="BL17" s="27">
        <v>3.6</v>
      </c>
      <c r="BM17" s="16">
        <v>7</v>
      </c>
      <c r="BN17" s="16">
        <v>6</v>
      </c>
      <c r="BO17" s="16">
        <v>6</v>
      </c>
      <c r="BP17" s="16">
        <v>6.5</v>
      </c>
      <c r="BQ17" s="16">
        <v>6.5</v>
      </c>
      <c r="BR17" s="16">
        <v>6.5</v>
      </c>
      <c r="BS17" s="12">
        <v>5</v>
      </c>
      <c r="BT17" s="16">
        <v>68.400000000000006</v>
      </c>
      <c r="BU17" s="17">
        <v>399.95</v>
      </c>
      <c r="BV17" s="34">
        <f>7</f>
        <v>7</v>
      </c>
      <c r="BW17" s="35">
        <v>4</v>
      </c>
      <c r="BX17" s="16">
        <v>56.2</v>
      </c>
      <c r="BY17" s="33" t="s">
        <v>177</v>
      </c>
      <c r="BZ17" s="27">
        <v>3.9</v>
      </c>
      <c r="CA17" s="16">
        <v>7.5</v>
      </c>
      <c r="CB17" s="16">
        <v>7</v>
      </c>
      <c r="CC17" s="16">
        <v>6.5</v>
      </c>
      <c r="CD17" s="16">
        <v>7</v>
      </c>
      <c r="CE17" s="16">
        <v>7</v>
      </c>
      <c r="CF17" s="16">
        <v>7.5</v>
      </c>
      <c r="CG17" s="12">
        <v>7</v>
      </c>
      <c r="CH17" s="16">
        <v>81.900000000000006</v>
      </c>
      <c r="CI17" s="17">
        <v>481.85</v>
      </c>
      <c r="CJ17" s="34">
        <v>7</v>
      </c>
      <c r="CK17" s="35">
        <v>4</v>
      </c>
      <c r="CL17" s="16">
        <v>76.900000000000006</v>
      </c>
      <c r="CM17" s="32">
        <v>2020</v>
      </c>
      <c r="CN17" s="32" t="s">
        <v>175</v>
      </c>
      <c r="CO17" s="32" t="s">
        <v>10</v>
      </c>
    </row>
    <row r="18" spans="1:93" x14ac:dyDescent="0.35">
      <c r="A18" s="32">
        <v>5</v>
      </c>
      <c r="B18" s="32" t="s">
        <v>45</v>
      </c>
      <c r="C18" s="32" t="s">
        <v>193</v>
      </c>
      <c r="D18" s="32">
        <v>31</v>
      </c>
      <c r="E18" s="15">
        <v>461.9</v>
      </c>
      <c r="F18" s="15">
        <v>96.85</v>
      </c>
      <c r="G18" s="33" t="s">
        <v>137</v>
      </c>
      <c r="H18" s="27">
        <v>3.4</v>
      </c>
      <c r="I18" s="16">
        <v>7</v>
      </c>
      <c r="J18" s="16">
        <v>7.5</v>
      </c>
      <c r="K18" s="16">
        <v>7.5</v>
      </c>
      <c r="L18" s="16">
        <v>7</v>
      </c>
      <c r="M18" s="16">
        <v>7.5</v>
      </c>
      <c r="N18" s="16">
        <v>7.5</v>
      </c>
      <c r="O18" s="12">
        <v>7</v>
      </c>
      <c r="P18" s="16">
        <v>74.8</v>
      </c>
      <c r="Q18" s="17">
        <v>74.8</v>
      </c>
      <c r="R18" s="34">
        <v>7</v>
      </c>
      <c r="S18" s="35">
        <v>7</v>
      </c>
      <c r="T18" s="16">
        <v>17</v>
      </c>
      <c r="U18" s="33" t="s">
        <v>13</v>
      </c>
      <c r="V18" s="27">
        <v>3.4</v>
      </c>
      <c r="W18" s="16">
        <v>7.5</v>
      </c>
      <c r="X18" s="16">
        <v>8.5</v>
      </c>
      <c r="Y18" s="16">
        <v>7.5</v>
      </c>
      <c r="Z18" s="16">
        <v>8</v>
      </c>
      <c r="AA18" s="16">
        <v>7.5</v>
      </c>
      <c r="AB18" s="16">
        <v>8</v>
      </c>
      <c r="AC18" s="12">
        <v>7.5</v>
      </c>
      <c r="AD18" s="16">
        <v>78.2</v>
      </c>
      <c r="AE18" s="17">
        <v>153</v>
      </c>
      <c r="AF18" s="34">
        <v>6</v>
      </c>
      <c r="AG18" s="35">
        <v>6</v>
      </c>
      <c r="AH18" s="16">
        <v>27.9</v>
      </c>
      <c r="AI18" s="33" t="s">
        <v>177</v>
      </c>
      <c r="AJ18" s="27">
        <v>3.9</v>
      </c>
      <c r="AK18" s="16">
        <v>7</v>
      </c>
      <c r="AL18" s="16">
        <v>5.5</v>
      </c>
      <c r="AM18" s="16">
        <v>6.5</v>
      </c>
      <c r="AN18" s="16">
        <v>6</v>
      </c>
      <c r="AO18" s="16">
        <v>6.5</v>
      </c>
      <c r="AP18" s="16">
        <v>6.5</v>
      </c>
      <c r="AQ18" s="12">
        <v>6.5</v>
      </c>
      <c r="AR18" s="16">
        <v>76.05</v>
      </c>
      <c r="AS18" s="17">
        <v>229.05</v>
      </c>
      <c r="AT18" s="34">
        <v>7</v>
      </c>
      <c r="AU18" s="35">
        <v>5</v>
      </c>
      <c r="AV18" s="16">
        <v>38.25</v>
      </c>
      <c r="AW18" s="33" t="s">
        <v>139</v>
      </c>
      <c r="AX18" s="27">
        <v>3.6</v>
      </c>
      <c r="AY18" s="16">
        <v>4</v>
      </c>
      <c r="AZ18" s="16">
        <v>4</v>
      </c>
      <c r="BA18" s="16">
        <v>4</v>
      </c>
      <c r="BB18" s="16">
        <v>3.5</v>
      </c>
      <c r="BC18" s="16">
        <v>3.5</v>
      </c>
      <c r="BD18" s="16">
        <v>4</v>
      </c>
      <c r="BE18" s="12">
        <v>4.5</v>
      </c>
      <c r="BF18" s="16">
        <v>43.2</v>
      </c>
      <c r="BG18" s="17">
        <v>272.25</v>
      </c>
      <c r="BH18" s="34">
        <v>12</v>
      </c>
      <c r="BI18" s="35">
        <v>8</v>
      </c>
      <c r="BJ18" s="16">
        <v>89.55</v>
      </c>
      <c r="BK18" s="33" t="s">
        <v>164</v>
      </c>
      <c r="BL18" s="27">
        <v>3.5</v>
      </c>
      <c r="BM18" s="16">
        <v>8.5</v>
      </c>
      <c r="BN18" s="16">
        <v>8.5</v>
      </c>
      <c r="BO18" s="16">
        <v>9</v>
      </c>
      <c r="BP18" s="16">
        <v>8.5</v>
      </c>
      <c r="BQ18" s="16">
        <v>9</v>
      </c>
      <c r="BR18" s="16">
        <v>9</v>
      </c>
      <c r="BS18" s="12">
        <v>9</v>
      </c>
      <c r="BT18" s="16">
        <v>92.75</v>
      </c>
      <c r="BU18" s="17">
        <v>365</v>
      </c>
      <c r="BV18" s="34">
        <v>3</v>
      </c>
      <c r="BW18" s="35">
        <v>5</v>
      </c>
      <c r="BX18" s="16">
        <v>91.15</v>
      </c>
      <c r="BY18" s="33" t="s">
        <v>174</v>
      </c>
      <c r="BZ18" s="27">
        <v>3.8</v>
      </c>
      <c r="CA18" s="16">
        <v>8</v>
      </c>
      <c r="CB18" s="16">
        <v>8.5</v>
      </c>
      <c r="CC18" s="16">
        <v>8</v>
      </c>
      <c r="CD18" s="16">
        <v>8.5</v>
      </c>
      <c r="CE18" s="16">
        <v>9</v>
      </c>
      <c r="CF18" s="16">
        <v>8.5</v>
      </c>
      <c r="CG18" s="12">
        <v>8.5</v>
      </c>
      <c r="CH18" s="16">
        <v>96.9</v>
      </c>
      <c r="CI18" s="17">
        <v>461.9</v>
      </c>
      <c r="CJ18" s="34">
        <f>3</f>
        <v>3</v>
      </c>
      <c r="CK18" s="35">
        <v>5</v>
      </c>
      <c r="CL18" s="16">
        <v>96.85</v>
      </c>
      <c r="CM18" s="32">
        <v>2020</v>
      </c>
      <c r="CN18" s="32" t="s">
        <v>175</v>
      </c>
      <c r="CO18" s="32" t="s">
        <v>10</v>
      </c>
    </row>
    <row r="19" spans="1:93" x14ac:dyDescent="0.35">
      <c r="A19" s="32">
        <v>6</v>
      </c>
      <c r="B19" s="32" t="s">
        <v>18</v>
      </c>
      <c r="C19" s="32" t="s">
        <v>194</v>
      </c>
      <c r="D19" s="32">
        <v>35</v>
      </c>
      <c r="E19" s="15">
        <v>428.75</v>
      </c>
      <c r="F19" s="15">
        <v>130</v>
      </c>
      <c r="G19" s="33" t="s">
        <v>13</v>
      </c>
      <c r="H19" s="27">
        <v>3.4</v>
      </c>
      <c r="I19" s="16">
        <v>8</v>
      </c>
      <c r="J19" s="16">
        <v>8.5</v>
      </c>
      <c r="K19" s="16">
        <v>8</v>
      </c>
      <c r="L19" s="16">
        <v>8</v>
      </c>
      <c r="M19" s="16">
        <v>8.5</v>
      </c>
      <c r="N19" s="16">
        <v>8</v>
      </c>
      <c r="O19" s="12">
        <v>8.5</v>
      </c>
      <c r="P19" s="16">
        <v>83.3</v>
      </c>
      <c r="Q19" s="17">
        <v>83.3</v>
      </c>
      <c r="R19" s="34">
        <v>4</v>
      </c>
      <c r="S19" s="35">
        <v>4</v>
      </c>
      <c r="T19" s="16">
        <v>8.5</v>
      </c>
      <c r="U19" s="33" t="s">
        <v>5</v>
      </c>
      <c r="V19" s="27">
        <v>3</v>
      </c>
      <c r="W19" s="16">
        <v>6.5</v>
      </c>
      <c r="X19" s="16">
        <v>7</v>
      </c>
      <c r="Y19" s="16">
        <v>7.5</v>
      </c>
      <c r="Z19" s="16">
        <v>7</v>
      </c>
      <c r="AA19" s="16">
        <v>7.5</v>
      </c>
      <c r="AB19" s="16">
        <v>7</v>
      </c>
      <c r="AC19" s="12">
        <v>7</v>
      </c>
      <c r="AD19" s="16">
        <v>63</v>
      </c>
      <c r="AE19" s="17">
        <v>146.30000000000001</v>
      </c>
      <c r="AF19" s="34">
        <f>10</f>
        <v>10</v>
      </c>
      <c r="AG19" s="35">
        <v>7</v>
      </c>
      <c r="AH19" s="16">
        <v>34.6</v>
      </c>
      <c r="AI19" s="33" t="s">
        <v>137</v>
      </c>
      <c r="AJ19" s="27">
        <v>3.4</v>
      </c>
      <c r="AK19" s="16">
        <v>7</v>
      </c>
      <c r="AL19" s="16">
        <v>7</v>
      </c>
      <c r="AM19" s="16">
        <v>7.5</v>
      </c>
      <c r="AN19" s="16">
        <v>7</v>
      </c>
      <c r="AO19" s="16">
        <v>7</v>
      </c>
      <c r="AP19" s="16">
        <v>7.5</v>
      </c>
      <c r="AQ19" s="12">
        <v>7.5</v>
      </c>
      <c r="AR19" s="16">
        <v>73.099999999999994</v>
      </c>
      <c r="AS19" s="17">
        <v>219.4</v>
      </c>
      <c r="AT19" s="34">
        <v>9</v>
      </c>
      <c r="AU19" s="35">
        <v>6</v>
      </c>
      <c r="AV19" s="16">
        <v>47.9</v>
      </c>
      <c r="AW19" s="33" t="s">
        <v>172</v>
      </c>
      <c r="AX19" s="27">
        <v>3.3</v>
      </c>
      <c r="AY19" s="16">
        <v>8</v>
      </c>
      <c r="AZ19" s="16">
        <v>8</v>
      </c>
      <c r="BA19" s="16">
        <v>8</v>
      </c>
      <c r="BB19" s="16">
        <v>8</v>
      </c>
      <c r="BC19" s="16">
        <v>8.5</v>
      </c>
      <c r="BD19" s="16">
        <v>8.5</v>
      </c>
      <c r="BE19" s="12">
        <v>8</v>
      </c>
      <c r="BF19" s="16">
        <v>79.2</v>
      </c>
      <c r="BG19" s="17">
        <v>298.60000000000002</v>
      </c>
      <c r="BH19" s="34">
        <v>5</v>
      </c>
      <c r="BI19" s="35">
        <v>5</v>
      </c>
      <c r="BJ19" s="16">
        <v>63.2</v>
      </c>
      <c r="BK19" s="33" t="s">
        <v>164</v>
      </c>
      <c r="BL19" s="27">
        <v>3.5</v>
      </c>
      <c r="BM19" s="16">
        <v>3.5</v>
      </c>
      <c r="BN19" s="16">
        <v>2.5</v>
      </c>
      <c r="BO19" s="16">
        <v>3</v>
      </c>
      <c r="BP19" s="16">
        <v>3.5</v>
      </c>
      <c r="BQ19" s="16">
        <v>3</v>
      </c>
      <c r="BR19" s="16">
        <v>3.5</v>
      </c>
      <c r="BS19" s="12">
        <v>3</v>
      </c>
      <c r="BT19" s="16">
        <v>33.25</v>
      </c>
      <c r="BU19" s="17">
        <v>331.85</v>
      </c>
      <c r="BV19" s="34">
        <v>12</v>
      </c>
      <c r="BW19" s="35">
        <v>9</v>
      </c>
      <c r="BX19" s="16">
        <v>124.3</v>
      </c>
      <c r="BY19" s="33" t="s">
        <v>174</v>
      </c>
      <c r="BZ19" s="27">
        <v>3.8</v>
      </c>
      <c r="CA19" s="16">
        <v>8.5</v>
      </c>
      <c r="CB19" s="16">
        <v>8.5</v>
      </c>
      <c r="CC19" s="16">
        <v>8.5</v>
      </c>
      <c r="CD19" s="16">
        <v>8</v>
      </c>
      <c r="CE19" s="16">
        <v>8</v>
      </c>
      <c r="CF19" s="16">
        <v>8.5</v>
      </c>
      <c r="CG19" s="12">
        <v>8.5</v>
      </c>
      <c r="CH19" s="16">
        <v>96.9</v>
      </c>
      <c r="CI19" s="17">
        <v>428.75</v>
      </c>
      <c r="CJ19" s="34">
        <f>3</f>
        <v>3</v>
      </c>
      <c r="CK19" s="35">
        <v>6</v>
      </c>
      <c r="CL19" s="16">
        <v>130</v>
      </c>
      <c r="CM19" s="32">
        <v>2020</v>
      </c>
      <c r="CN19" s="32" t="s">
        <v>175</v>
      </c>
      <c r="CO19" s="32" t="s">
        <v>10</v>
      </c>
    </row>
    <row r="20" spans="1:93" x14ac:dyDescent="0.35">
      <c r="A20" s="32">
        <v>7</v>
      </c>
      <c r="B20" s="32" t="s">
        <v>20</v>
      </c>
      <c r="C20" s="32" t="s">
        <v>195</v>
      </c>
      <c r="D20" s="32">
        <v>29</v>
      </c>
      <c r="E20" s="15">
        <v>426.75</v>
      </c>
      <c r="F20" s="15">
        <v>132</v>
      </c>
      <c r="G20" s="33" t="s">
        <v>5</v>
      </c>
      <c r="H20" s="27">
        <v>3</v>
      </c>
      <c r="I20" s="16">
        <v>7</v>
      </c>
      <c r="J20" s="16">
        <v>7</v>
      </c>
      <c r="K20" s="16">
        <v>7</v>
      </c>
      <c r="L20" s="16">
        <v>6.5</v>
      </c>
      <c r="M20" s="16">
        <v>6.5</v>
      </c>
      <c r="N20" s="16">
        <v>6</v>
      </c>
      <c r="O20" s="12">
        <v>7</v>
      </c>
      <c r="P20" s="16">
        <v>61.5</v>
      </c>
      <c r="Q20" s="17">
        <v>61.5</v>
      </c>
      <c r="R20" s="34">
        <v>11</v>
      </c>
      <c r="S20" s="35">
        <v>11</v>
      </c>
      <c r="T20" s="16">
        <v>30.3</v>
      </c>
      <c r="U20" s="33" t="s">
        <v>176</v>
      </c>
      <c r="V20" s="27">
        <v>3.5</v>
      </c>
      <c r="W20" s="16">
        <v>7.5</v>
      </c>
      <c r="X20" s="16">
        <v>7</v>
      </c>
      <c r="Y20" s="16">
        <v>7</v>
      </c>
      <c r="Z20" s="16">
        <v>7.5</v>
      </c>
      <c r="AA20" s="16">
        <v>7</v>
      </c>
      <c r="AB20" s="16">
        <v>7.5</v>
      </c>
      <c r="AC20" s="12">
        <v>7.5</v>
      </c>
      <c r="AD20" s="16">
        <v>77</v>
      </c>
      <c r="AE20" s="17">
        <v>138.5</v>
      </c>
      <c r="AF20" s="34">
        <v>7</v>
      </c>
      <c r="AG20" s="35">
        <v>8</v>
      </c>
      <c r="AH20" s="16">
        <v>42.4</v>
      </c>
      <c r="AI20" s="33" t="s">
        <v>164</v>
      </c>
      <c r="AJ20" s="27">
        <v>3.5</v>
      </c>
      <c r="AK20" s="16">
        <v>8</v>
      </c>
      <c r="AL20" s="16">
        <v>7.5</v>
      </c>
      <c r="AM20" s="16">
        <v>7.5</v>
      </c>
      <c r="AN20" s="16">
        <v>7.5</v>
      </c>
      <c r="AO20" s="16">
        <v>7</v>
      </c>
      <c r="AP20" s="16">
        <v>8</v>
      </c>
      <c r="AQ20" s="12">
        <v>7.5</v>
      </c>
      <c r="AR20" s="16">
        <v>78.75</v>
      </c>
      <c r="AS20" s="17">
        <v>217.25</v>
      </c>
      <c r="AT20" s="34">
        <v>5</v>
      </c>
      <c r="AU20" s="35">
        <v>7</v>
      </c>
      <c r="AV20" s="16">
        <v>50.05</v>
      </c>
      <c r="AW20" s="33" t="s">
        <v>137</v>
      </c>
      <c r="AX20" s="27">
        <v>3.4</v>
      </c>
      <c r="AY20" s="16">
        <v>7.5</v>
      </c>
      <c r="AZ20" s="16">
        <v>7</v>
      </c>
      <c r="BA20" s="16">
        <v>7</v>
      </c>
      <c r="BB20" s="16">
        <v>7</v>
      </c>
      <c r="BC20" s="16">
        <v>6.5</v>
      </c>
      <c r="BD20" s="16">
        <v>6.5</v>
      </c>
      <c r="BE20" s="12">
        <v>6</v>
      </c>
      <c r="BF20" s="16">
        <v>69.7</v>
      </c>
      <c r="BG20" s="17">
        <v>286.95</v>
      </c>
      <c r="BH20" s="34">
        <v>7</v>
      </c>
      <c r="BI20" s="35">
        <v>6</v>
      </c>
      <c r="BJ20" s="16">
        <v>74.849999999999994</v>
      </c>
      <c r="BK20" s="33" t="s">
        <v>174</v>
      </c>
      <c r="BL20" s="27">
        <v>3.8</v>
      </c>
      <c r="BM20" s="16">
        <v>6</v>
      </c>
      <c r="BN20" s="16">
        <v>6</v>
      </c>
      <c r="BO20" s="16">
        <v>5.5</v>
      </c>
      <c r="BP20" s="16">
        <v>5.5</v>
      </c>
      <c r="BQ20" s="16">
        <v>6</v>
      </c>
      <c r="BR20" s="16">
        <v>6</v>
      </c>
      <c r="BS20" s="12">
        <v>6.5</v>
      </c>
      <c r="BT20" s="16">
        <v>68.400000000000006</v>
      </c>
      <c r="BU20" s="17">
        <v>355.35</v>
      </c>
      <c r="BV20" s="34">
        <f>7</f>
        <v>7</v>
      </c>
      <c r="BW20" s="35">
        <v>6</v>
      </c>
      <c r="BX20" s="16">
        <v>100.8</v>
      </c>
      <c r="BY20" s="33" t="s">
        <v>13</v>
      </c>
      <c r="BZ20" s="27">
        <v>3.4</v>
      </c>
      <c r="CA20" s="16">
        <v>7</v>
      </c>
      <c r="CB20" s="16">
        <v>7</v>
      </c>
      <c r="CC20" s="16">
        <v>7</v>
      </c>
      <c r="CD20" s="16">
        <v>7</v>
      </c>
      <c r="CE20" s="16">
        <v>7</v>
      </c>
      <c r="CF20" s="16">
        <v>7</v>
      </c>
      <c r="CG20" s="12">
        <v>7</v>
      </c>
      <c r="CH20" s="16">
        <v>71.400000000000006</v>
      </c>
      <c r="CI20" s="17">
        <v>426.75</v>
      </c>
      <c r="CJ20" s="34">
        <v>10</v>
      </c>
      <c r="CK20" s="35">
        <v>7</v>
      </c>
      <c r="CL20" s="16">
        <v>132</v>
      </c>
      <c r="CM20" s="32">
        <v>2020</v>
      </c>
      <c r="CN20" s="32" t="s">
        <v>175</v>
      </c>
      <c r="CO20" s="32" t="s">
        <v>10</v>
      </c>
    </row>
    <row r="21" spans="1:93" x14ac:dyDescent="0.35">
      <c r="A21" s="32">
        <v>8</v>
      </c>
      <c r="B21" s="32" t="s">
        <v>197</v>
      </c>
      <c r="C21" s="32" t="s">
        <v>196</v>
      </c>
      <c r="D21" s="32">
        <v>21</v>
      </c>
      <c r="E21" s="15">
        <v>415.6</v>
      </c>
      <c r="F21" s="15">
        <v>143.15</v>
      </c>
      <c r="G21" s="33" t="s">
        <v>4</v>
      </c>
      <c r="H21" s="27">
        <v>3</v>
      </c>
      <c r="I21" s="16">
        <v>8</v>
      </c>
      <c r="J21" s="16">
        <v>7.5</v>
      </c>
      <c r="K21" s="16">
        <v>7.5</v>
      </c>
      <c r="L21" s="16">
        <v>7.5</v>
      </c>
      <c r="M21" s="16">
        <v>7.5</v>
      </c>
      <c r="N21" s="16">
        <v>8</v>
      </c>
      <c r="O21" s="12">
        <v>7.5</v>
      </c>
      <c r="P21" s="16">
        <v>67.5</v>
      </c>
      <c r="Q21" s="17">
        <v>67.5</v>
      </c>
      <c r="R21" s="34">
        <f>9</f>
        <v>9</v>
      </c>
      <c r="S21" s="35">
        <f>9</f>
        <v>9</v>
      </c>
      <c r="T21" s="16">
        <v>24.3</v>
      </c>
      <c r="U21" s="33" t="s">
        <v>5</v>
      </c>
      <c r="V21" s="27">
        <v>3</v>
      </c>
      <c r="W21" s="16">
        <v>7.5</v>
      </c>
      <c r="X21" s="16">
        <v>7</v>
      </c>
      <c r="Y21" s="16">
        <v>7.5</v>
      </c>
      <c r="Z21" s="16">
        <v>6.5</v>
      </c>
      <c r="AA21" s="16">
        <v>7.5</v>
      </c>
      <c r="AB21" s="16">
        <v>7.5</v>
      </c>
      <c r="AC21" s="12">
        <v>7.5</v>
      </c>
      <c r="AD21" s="16">
        <v>67.5</v>
      </c>
      <c r="AE21" s="17">
        <v>135</v>
      </c>
      <c r="AF21" s="34">
        <v>9</v>
      </c>
      <c r="AG21" s="35">
        <v>9</v>
      </c>
      <c r="AH21" s="16">
        <v>45.9</v>
      </c>
      <c r="AI21" s="33" t="s">
        <v>6</v>
      </c>
      <c r="AJ21" s="27">
        <v>3</v>
      </c>
      <c r="AK21" s="16">
        <v>8</v>
      </c>
      <c r="AL21" s="16">
        <v>7.5</v>
      </c>
      <c r="AM21" s="16">
        <v>7.5</v>
      </c>
      <c r="AN21" s="16">
        <v>8</v>
      </c>
      <c r="AO21" s="16">
        <v>8</v>
      </c>
      <c r="AP21" s="16">
        <v>8.5</v>
      </c>
      <c r="AQ21" s="12">
        <v>7.5</v>
      </c>
      <c r="AR21" s="16">
        <v>70.5</v>
      </c>
      <c r="AS21" s="17">
        <v>205.5</v>
      </c>
      <c r="AT21" s="34">
        <v>10</v>
      </c>
      <c r="AU21" s="35">
        <v>8</v>
      </c>
      <c r="AV21" s="16">
        <v>61.8</v>
      </c>
      <c r="AW21" s="33" t="s">
        <v>7</v>
      </c>
      <c r="AX21" s="27">
        <v>3.1</v>
      </c>
      <c r="AY21" s="16">
        <v>8</v>
      </c>
      <c r="AZ21" s="16">
        <v>7.5</v>
      </c>
      <c r="BA21" s="16">
        <v>7.5</v>
      </c>
      <c r="BB21" s="16">
        <v>8</v>
      </c>
      <c r="BC21" s="16">
        <v>8</v>
      </c>
      <c r="BD21" s="16">
        <v>8</v>
      </c>
      <c r="BE21" s="12">
        <v>8</v>
      </c>
      <c r="BF21" s="16">
        <v>74.400000000000006</v>
      </c>
      <c r="BG21" s="17">
        <v>279.89999999999998</v>
      </c>
      <c r="BH21" s="34">
        <v>6</v>
      </c>
      <c r="BI21" s="35">
        <v>7</v>
      </c>
      <c r="BJ21" s="16">
        <v>81.900000000000006</v>
      </c>
      <c r="BK21" s="33" t="s">
        <v>8</v>
      </c>
      <c r="BL21" s="27">
        <v>3</v>
      </c>
      <c r="BM21" s="16">
        <v>7</v>
      </c>
      <c r="BN21" s="16">
        <v>7</v>
      </c>
      <c r="BO21" s="16">
        <v>7.5</v>
      </c>
      <c r="BP21" s="16">
        <v>7</v>
      </c>
      <c r="BQ21" s="16">
        <v>7.5</v>
      </c>
      <c r="BR21" s="16">
        <v>7.5</v>
      </c>
      <c r="BS21" s="12">
        <v>7.5</v>
      </c>
      <c r="BT21" s="16">
        <v>66</v>
      </c>
      <c r="BU21" s="17">
        <v>345.9</v>
      </c>
      <c r="BV21" s="34">
        <v>9</v>
      </c>
      <c r="BW21" s="35">
        <v>8</v>
      </c>
      <c r="BX21" s="16">
        <v>110.25</v>
      </c>
      <c r="BY21" s="33" t="s">
        <v>13</v>
      </c>
      <c r="BZ21" s="27">
        <v>3.4</v>
      </c>
      <c r="CA21" s="16">
        <v>7</v>
      </c>
      <c r="CB21" s="16">
        <v>6.5</v>
      </c>
      <c r="CC21" s="16">
        <v>7</v>
      </c>
      <c r="CD21" s="16">
        <v>6</v>
      </c>
      <c r="CE21" s="16">
        <v>6.5</v>
      </c>
      <c r="CF21" s="16">
        <v>7</v>
      </c>
      <c r="CG21" s="12">
        <v>7</v>
      </c>
      <c r="CH21" s="16">
        <v>69.7</v>
      </c>
      <c r="CI21" s="17">
        <v>415.6</v>
      </c>
      <c r="CJ21" s="34">
        <v>11</v>
      </c>
      <c r="CK21" s="35">
        <v>8</v>
      </c>
      <c r="CL21" s="16">
        <v>143.15</v>
      </c>
      <c r="CM21" s="32">
        <v>2020</v>
      </c>
      <c r="CN21" s="32" t="s">
        <v>175</v>
      </c>
      <c r="CO21" s="32" t="s">
        <v>10</v>
      </c>
    </row>
    <row r="22" spans="1:93" x14ac:dyDescent="0.35">
      <c r="A22" s="32">
        <v>9</v>
      </c>
      <c r="B22" s="32" t="s">
        <v>17</v>
      </c>
      <c r="C22" s="32" t="s">
        <v>198</v>
      </c>
      <c r="D22" s="32">
        <v>24</v>
      </c>
      <c r="E22" s="15">
        <v>411</v>
      </c>
      <c r="F22" s="15">
        <v>147.75</v>
      </c>
      <c r="G22" s="33" t="s">
        <v>5</v>
      </c>
      <c r="H22" s="27">
        <v>3</v>
      </c>
      <c r="I22" s="16">
        <v>6.5</v>
      </c>
      <c r="J22" s="16">
        <v>6.5</v>
      </c>
      <c r="K22" s="16">
        <v>7</v>
      </c>
      <c r="L22" s="16">
        <v>6.5</v>
      </c>
      <c r="M22" s="16">
        <v>6.5</v>
      </c>
      <c r="N22" s="16">
        <v>6.5</v>
      </c>
      <c r="O22" s="12">
        <v>7</v>
      </c>
      <c r="P22" s="16">
        <v>58.5</v>
      </c>
      <c r="Q22" s="17">
        <v>58.5</v>
      </c>
      <c r="R22" s="34">
        <v>12</v>
      </c>
      <c r="S22" s="35">
        <v>12</v>
      </c>
      <c r="T22" s="16">
        <v>33.299999999999997</v>
      </c>
      <c r="U22" s="33" t="s">
        <v>137</v>
      </c>
      <c r="V22" s="27">
        <v>3.4</v>
      </c>
      <c r="W22" s="16">
        <v>7</v>
      </c>
      <c r="X22" s="16">
        <v>7</v>
      </c>
      <c r="Y22" s="16">
        <v>7</v>
      </c>
      <c r="Z22" s="16">
        <v>7</v>
      </c>
      <c r="AA22" s="16">
        <v>7</v>
      </c>
      <c r="AB22" s="16">
        <v>7.5</v>
      </c>
      <c r="AC22" s="12">
        <v>7</v>
      </c>
      <c r="AD22" s="16">
        <v>71.400000000000006</v>
      </c>
      <c r="AE22" s="17">
        <v>129.9</v>
      </c>
      <c r="AF22" s="34">
        <v>8</v>
      </c>
      <c r="AG22" s="35">
        <v>11</v>
      </c>
      <c r="AH22" s="16">
        <v>51</v>
      </c>
      <c r="AI22" s="33" t="s">
        <v>176</v>
      </c>
      <c r="AJ22" s="27">
        <v>3.5</v>
      </c>
      <c r="AK22" s="16">
        <v>7</v>
      </c>
      <c r="AL22" s="16">
        <v>7</v>
      </c>
      <c r="AM22" s="16">
        <v>7</v>
      </c>
      <c r="AN22" s="16">
        <v>7</v>
      </c>
      <c r="AO22" s="16">
        <v>7</v>
      </c>
      <c r="AP22" s="16">
        <v>7</v>
      </c>
      <c r="AQ22" s="12">
        <v>7</v>
      </c>
      <c r="AR22" s="16">
        <v>73.5</v>
      </c>
      <c r="AS22" s="17">
        <v>203.4</v>
      </c>
      <c r="AT22" s="34">
        <v>8</v>
      </c>
      <c r="AU22" s="35">
        <v>9</v>
      </c>
      <c r="AV22" s="16">
        <v>63.9</v>
      </c>
      <c r="AW22" s="33" t="s">
        <v>164</v>
      </c>
      <c r="AX22" s="27">
        <v>3.5</v>
      </c>
      <c r="AY22" s="16">
        <v>5.5</v>
      </c>
      <c r="AZ22" s="16">
        <v>5</v>
      </c>
      <c r="BA22" s="16">
        <v>5</v>
      </c>
      <c r="BB22" s="16">
        <v>5.5</v>
      </c>
      <c r="BC22" s="16">
        <v>5.5</v>
      </c>
      <c r="BD22" s="16">
        <v>5.5</v>
      </c>
      <c r="BE22" s="12">
        <v>5.5</v>
      </c>
      <c r="BF22" s="16">
        <v>57.75</v>
      </c>
      <c r="BG22" s="17">
        <v>261.14999999999998</v>
      </c>
      <c r="BH22" s="34">
        <v>10</v>
      </c>
      <c r="BI22" s="35">
        <v>9</v>
      </c>
      <c r="BJ22" s="16">
        <v>100.65</v>
      </c>
      <c r="BK22" s="33" t="s">
        <v>174</v>
      </c>
      <c r="BL22" s="27">
        <v>3.8</v>
      </c>
      <c r="BM22" s="16">
        <v>8</v>
      </c>
      <c r="BN22" s="16">
        <v>7.5</v>
      </c>
      <c r="BO22" s="16">
        <v>7.5</v>
      </c>
      <c r="BP22" s="16">
        <v>8</v>
      </c>
      <c r="BQ22" s="16">
        <v>7.5</v>
      </c>
      <c r="BR22" s="16">
        <v>7.5</v>
      </c>
      <c r="BS22" s="12">
        <v>7.5</v>
      </c>
      <c r="BT22" s="16">
        <v>85.5</v>
      </c>
      <c r="BU22" s="17">
        <v>346.65</v>
      </c>
      <c r="BV22" s="34">
        <v>5</v>
      </c>
      <c r="BW22" s="35">
        <v>7</v>
      </c>
      <c r="BX22" s="16">
        <v>109.5</v>
      </c>
      <c r="BY22" s="33" t="s">
        <v>177</v>
      </c>
      <c r="BZ22" s="27">
        <v>3.9</v>
      </c>
      <c r="CA22" s="16">
        <v>5.5</v>
      </c>
      <c r="CB22" s="16">
        <v>5.5</v>
      </c>
      <c r="CC22" s="16">
        <v>5</v>
      </c>
      <c r="CD22" s="16">
        <v>5.5</v>
      </c>
      <c r="CE22" s="16">
        <v>5.5</v>
      </c>
      <c r="CF22" s="16">
        <v>5</v>
      </c>
      <c r="CG22" s="12">
        <v>6</v>
      </c>
      <c r="CH22" s="16">
        <v>64.349999999999994</v>
      </c>
      <c r="CI22" s="17">
        <v>411</v>
      </c>
      <c r="CJ22" s="34">
        <v>12</v>
      </c>
      <c r="CK22" s="35">
        <v>9</v>
      </c>
      <c r="CL22" s="16">
        <v>147.75</v>
      </c>
      <c r="CM22" s="32">
        <v>2020</v>
      </c>
      <c r="CN22" s="32" t="s">
        <v>175</v>
      </c>
      <c r="CO22" s="32" t="s">
        <v>10</v>
      </c>
    </row>
    <row r="23" spans="1:93" x14ac:dyDescent="0.35">
      <c r="A23" s="32">
        <v>10</v>
      </c>
      <c r="B23" s="32" t="s">
        <v>34</v>
      </c>
      <c r="C23" s="32" t="s">
        <v>199</v>
      </c>
      <c r="D23" s="32">
        <v>21</v>
      </c>
      <c r="E23" s="15">
        <v>401.7</v>
      </c>
      <c r="F23" s="15">
        <v>157.05000000000001</v>
      </c>
      <c r="G23" s="33" t="s">
        <v>13</v>
      </c>
      <c r="H23" s="27">
        <v>3.4</v>
      </c>
      <c r="I23" s="16">
        <v>7.5</v>
      </c>
      <c r="J23" s="16">
        <v>8</v>
      </c>
      <c r="K23" s="16">
        <v>7.5</v>
      </c>
      <c r="L23" s="16">
        <v>7</v>
      </c>
      <c r="M23" s="16">
        <v>7.5</v>
      </c>
      <c r="N23" s="16">
        <v>7.5</v>
      </c>
      <c r="O23" s="12">
        <v>7.5</v>
      </c>
      <c r="P23" s="16">
        <v>76.5</v>
      </c>
      <c r="Q23" s="17">
        <v>76.5</v>
      </c>
      <c r="R23" s="34">
        <f>5</f>
        <v>5</v>
      </c>
      <c r="S23" s="35">
        <f>5</f>
        <v>5</v>
      </c>
      <c r="T23" s="16">
        <v>15.3</v>
      </c>
      <c r="U23" s="33" t="s">
        <v>176</v>
      </c>
      <c r="V23" s="27">
        <v>3.5</v>
      </c>
      <c r="W23" s="16">
        <v>8</v>
      </c>
      <c r="X23" s="16">
        <v>8</v>
      </c>
      <c r="Y23" s="16">
        <v>8</v>
      </c>
      <c r="Z23" s="16">
        <v>8</v>
      </c>
      <c r="AA23" s="16">
        <v>8</v>
      </c>
      <c r="AB23" s="16">
        <v>8</v>
      </c>
      <c r="AC23" s="12">
        <v>7.5</v>
      </c>
      <c r="AD23" s="16">
        <v>84</v>
      </c>
      <c r="AE23" s="17">
        <v>160.5</v>
      </c>
      <c r="AF23" s="34">
        <f>3</f>
        <v>3</v>
      </c>
      <c r="AG23" s="35">
        <v>4</v>
      </c>
      <c r="AH23" s="16">
        <v>20.399999999999999</v>
      </c>
      <c r="AI23" s="33" t="s">
        <v>164</v>
      </c>
      <c r="AJ23" s="27">
        <v>3.5</v>
      </c>
      <c r="AK23" s="16">
        <v>4</v>
      </c>
      <c r="AL23" s="16">
        <v>4</v>
      </c>
      <c r="AM23" s="16">
        <v>3.5</v>
      </c>
      <c r="AN23" s="16">
        <v>4</v>
      </c>
      <c r="AO23" s="16">
        <v>4</v>
      </c>
      <c r="AP23" s="16">
        <v>4.5</v>
      </c>
      <c r="AQ23" s="12">
        <v>3</v>
      </c>
      <c r="AR23" s="16">
        <v>42</v>
      </c>
      <c r="AS23" s="17">
        <v>202.5</v>
      </c>
      <c r="AT23" s="34">
        <v>11</v>
      </c>
      <c r="AU23" s="35">
        <v>10</v>
      </c>
      <c r="AV23" s="16">
        <v>64.8</v>
      </c>
      <c r="AW23" s="33" t="s">
        <v>139</v>
      </c>
      <c r="AX23" s="27">
        <v>3.6</v>
      </c>
      <c r="AY23" s="16">
        <v>4</v>
      </c>
      <c r="AZ23" s="16">
        <v>4.5</v>
      </c>
      <c r="BA23" s="16">
        <v>5</v>
      </c>
      <c r="BB23" s="16">
        <v>4</v>
      </c>
      <c r="BC23" s="16">
        <v>4.5</v>
      </c>
      <c r="BD23" s="16">
        <v>5</v>
      </c>
      <c r="BE23" s="12">
        <v>4.5</v>
      </c>
      <c r="BF23" s="16">
        <v>48.6</v>
      </c>
      <c r="BG23" s="17">
        <v>251.1</v>
      </c>
      <c r="BH23" s="34">
        <v>11</v>
      </c>
      <c r="BI23" s="35">
        <v>11</v>
      </c>
      <c r="BJ23" s="16">
        <v>110.7</v>
      </c>
      <c r="BK23" s="33" t="s">
        <v>137</v>
      </c>
      <c r="BL23" s="27">
        <v>3.4</v>
      </c>
      <c r="BM23" s="16">
        <v>7.5</v>
      </c>
      <c r="BN23" s="16">
        <v>7</v>
      </c>
      <c r="BO23" s="16">
        <v>7.5</v>
      </c>
      <c r="BP23" s="16">
        <v>8</v>
      </c>
      <c r="BQ23" s="16">
        <v>7</v>
      </c>
      <c r="BR23" s="16">
        <v>7.5</v>
      </c>
      <c r="BS23" s="12">
        <v>8</v>
      </c>
      <c r="BT23" s="16">
        <v>76.5</v>
      </c>
      <c r="BU23" s="17">
        <v>327.60000000000002</v>
      </c>
      <c r="BV23" s="34">
        <v>6</v>
      </c>
      <c r="BW23" s="35">
        <v>10</v>
      </c>
      <c r="BX23" s="16">
        <v>128.55000000000001</v>
      </c>
      <c r="BY23" s="33" t="s">
        <v>174</v>
      </c>
      <c r="BZ23" s="27">
        <v>3.8</v>
      </c>
      <c r="CA23" s="16">
        <v>6.5</v>
      </c>
      <c r="CB23" s="16">
        <v>6.5</v>
      </c>
      <c r="CC23" s="16">
        <v>6.5</v>
      </c>
      <c r="CD23" s="16">
        <v>6.5</v>
      </c>
      <c r="CE23" s="16">
        <v>7</v>
      </c>
      <c r="CF23" s="16">
        <v>6.5</v>
      </c>
      <c r="CG23" s="12">
        <v>7</v>
      </c>
      <c r="CH23" s="16">
        <v>74.099999999999994</v>
      </c>
      <c r="CI23" s="17">
        <v>401.7</v>
      </c>
      <c r="CJ23" s="34">
        <v>9</v>
      </c>
      <c r="CK23" s="35">
        <v>10</v>
      </c>
      <c r="CL23" s="16">
        <v>157.05000000000001</v>
      </c>
      <c r="CM23" s="32">
        <v>2020</v>
      </c>
      <c r="CN23" s="32" t="s">
        <v>175</v>
      </c>
      <c r="CO23" s="32" t="s">
        <v>10</v>
      </c>
    </row>
    <row r="24" spans="1:93" x14ac:dyDescent="0.35">
      <c r="A24" s="32">
        <v>11</v>
      </c>
      <c r="B24" s="32" t="s">
        <v>201</v>
      </c>
      <c r="C24" s="32" t="s">
        <v>200</v>
      </c>
      <c r="D24" s="32">
        <v>24</v>
      </c>
      <c r="E24" s="15">
        <v>393.15</v>
      </c>
      <c r="F24" s="15">
        <v>165.6</v>
      </c>
      <c r="G24" s="33" t="s">
        <v>5</v>
      </c>
      <c r="H24" s="27">
        <v>3</v>
      </c>
      <c r="I24" s="16">
        <v>8</v>
      </c>
      <c r="J24" s="16">
        <v>8.5</v>
      </c>
      <c r="K24" s="16">
        <v>8</v>
      </c>
      <c r="L24" s="16">
        <v>8</v>
      </c>
      <c r="M24" s="16">
        <v>8</v>
      </c>
      <c r="N24" s="16">
        <v>8</v>
      </c>
      <c r="O24" s="12">
        <v>8</v>
      </c>
      <c r="P24" s="16">
        <v>72</v>
      </c>
      <c r="Q24" s="17">
        <v>72</v>
      </c>
      <c r="R24" s="34">
        <v>8</v>
      </c>
      <c r="S24" s="35">
        <v>8</v>
      </c>
      <c r="T24" s="16">
        <v>19.8</v>
      </c>
      <c r="U24" s="33" t="s">
        <v>137</v>
      </c>
      <c r="V24" s="27">
        <v>3.4</v>
      </c>
      <c r="W24" s="16">
        <v>4</v>
      </c>
      <c r="X24" s="16">
        <v>3.5</v>
      </c>
      <c r="Y24" s="16">
        <v>3.5</v>
      </c>
      <c r="Z24" s="16">
        <v>3</v>
      </c>
      <c r="AA24" s="16">
        <v>4</v>
      </c>
      <c r="AB24" s="16">
        <v>4.5</v>
      </c>
      <c r="AC24" s="12">
        <v>4</v>
      </c>
      <c r="AD24" s="16">
        <v>39.1</v>
      </c>
      <c r="AE24" s="17">
        <v>111.1</v>
      </c>
      <c r="AF24" s="34">
        <v>12</v>
      </c>
      <c r="AG24" s="35">
        <v>12</v>
      </c>
      <c r="AH24" s="16">
        <v>69.8</v>
      </c>
      <c r="AI24" s="33" t="s">
        <v>13</v>
      </c>
      <c r="AJ24" s="27">
        <v>3.4</v>
      </c>
      <c r="AK24" s="16">
        <v>7.5</v>
      </c>
      <c r="AL24" s="16">
        <v>7.5</v>
      </c>
      <c r="AM24" s="16">
        <v>7.5</v>
      </c>
      <c r="AN24" s="16">
        <v>7.5</v>
      </c>
      <c r="AO24" s="16">
        <v>7.5</v>
      </c>
      <c r="AP24" s="16">
        <v>7.5</v>
      </c>
      <c r="AQ24" s="12">
        <v>8</v>
      </c>
      <c r="AR24" s="16">
        <v>76.5</v>
      </c>
      <c r="AS24" s="17">
        <v>187.6</v>
      </c>
      <c r="AT24" s="34">
        <v>6</v>
      </c>
      <c r="AU24" s="35">
        <v>11</v>
      </c>
      <c r="AV24" s="16">
        <v>79.7</v>
      </c>
      <c r="AW24" s="33" t="s">
        <v>172</v>
      </c>
      <c r="AX24" s="27">
        <v>3.3</v>
      </c>
      <c r="AY24" s="16">
        <v>7</v>
      </c>
      <c r="AZ24" s="16">
        <v>7.5</v>
      </c>
      <c r="BA24" s="16">
        <v>7</v>
      </c>
      <c r="BB24" s="16">
        <v>7.5</v>
      </c>
      <c r="BC24" s="16">
        <v>7</v>
      </c>
      <c r="BD24" s="16">
        <v>7</v>
      </c>
      <c r="BE24" s="12">
        <v>7</v>
      </c>
      <c r="BF24" s="16">
        <v>69.3</v>
      </c>
      <c r="BG24" s="17">
        <v>256.89999999999998</v>
      </c>
      <c r="BH24" s="34">
        <v>8</v>
      </c>
      <c r="BI24" s="35">
        <v>10</v>
      </c>
      <c r="BJ24" s="16">
        <v>104.9</v>
      </c>
      <c r="BK24" s="33" t="s">
        <v>164</v>
      </c>
      <c r="BL24" s="27">
        <v>3.5</v>
      </c>
      <c r="BM24" s="16">
        <v>4.5</v>
      </c>
      <c r="BN24" s="16">
        <v>4</v>
      </c>
      <c r="BO24" s="16">
        <v>4.5</v>
      </c>
      <c r="BP24" s="16">
        <v>5</v>
      </c>
      <c r="BQ24" s="16">
        <v>5</v>
      </c>
      <c r="BR24" s="16">
        <v>5</v>
      </c>
      <c r="BS24" s="12">
        <v>6</v>
      </c>
      <c r="BT24" s="16">
        <v>50.75</v>
      </c>
      <c r="BU24" s="17">
        <v>307.64999999999998</v>
      </c>
      <c r="BV24" s="34">
        <v>11</v>
      </c>
      <c r="BW24" s="35">
        <v>11</v>
      </c>
      <c r="BX24" s="16">
        <v>148.5</v>
      </c>
      <c r="BY24" s="33" t="s">
        <v>174</v>
      </c>
      <c r="BZ24" s="27">
        <v>3.8</v>
      </c>
      <c r="CA24" s="16">
        <v>7.5</v>
      </c>
      <c r="CB24" s="16">
        <v>7.5</v>
      </c>
      <c r="CC24" s="16">
        <v>7.5</v>
      </c>
      <c r="CD24" s="16">
        <v>7.5</v>
      </c>
      <c r="CE24" s="16">
        <v>7.5</v>
      </c>
      <c r="CF24" s="16">
        <v>7</v>
      </c>
      <c r="CG24" s="12">
        <v>7.5</v>
      </c>
      <c r="CH24" s="16">
        <v>85.5</v>
      </c>
      <c r="CI24" s="17">
        <v>393.15</v>
      </c>
      <c r="CJ24" s="34">
        <v>6</v>
      </c>
      <c r="CK24" s="35">
        <v>11</v>
      </c>
      <c r="CL24" s="16">
        <v>165.6</v>
      </c>
      <c r="CM24" s="32">
        <v>2020</v>
      </c>
      <c r="CN24" s="32" t="s">
        <v>175</v>
      </c>
      <c r="CO24" s="32" t="s">
        <v>10</v>
      </c>
    </row>
    <row r="25" spans="1:93" x14ac:dyDescent="0.35">
      <c r="A25" s="32">
        <v>12</v>
      </c>
      <c r="B25" s="32" t="s">
        <v>151</v>
      </c>
      <c r="C25" s="32" t="s">
        <v>202</v>
      </c>
      <c r="D25" s="32">
        <v>40</v>
      </c>
      <c r="E25" s="15">
        <v>359.7</v>
      </c>
      <c r="F25" s="15">
        <v>199.05</v>
      </c>
      <c r="G25" s="33" t="s">
        <v>5</v>
      </c>
      <c r="H25" s="27">
        <v>3</v>
      </c>
      <c r="I25" s="16">
        <v>7</v>
      </c>
      <c r="J25" s="16">
        <v>7.5</v>
      </c>
      <c r="K25" s="16">
        <v>7</v>
      </c>
      <c r="L25" s="16">
        <v>7.5</v>
      </c>
      <c r="M25" s="16">
        <v>7.5</v>
      </c>
      <c r="N25" s="16">
        <v>7.5</v>
      </c>
      <c r="O25" s="12">
        <v>8</v>
      </c>
      <c r="P25" s="16">
        <v>67.5</v>
      </c>
      <c r="Q25" s="17">
        <v>67.5</v>
      </c>
      <c r="R25" s="34">
        <f>9</f>
        <v>9</v>
      </c>
      <c r="S25" s="35">
        <f>9</f>
        <v>9</v>
      </c>
      <c r="T25" s="16">
        <v>24.3</v>
      </c>
      <c r="U25" s="33" t="s">
        <v>6</v>
      </c>
      <c r="V25" s="27">
        <v>3</v>
      </c>
      <c r="W25" s="16">
        <v>7.5</v>
      </c>
      <c r="X25" s="16">
        <v>6.5</v>
      </c>
      <c r="Y25" s="16">
        <v>7</v>
      </c>
      <c r="Z25" s="16">
        <v>7</v>
      </c>
      <c r="AA25" s="16">
        <v>7</v>
      </c>
      <c r="AB25" s="16">
        <v>7</v>
      </c>
      <c r="AC25" s="12">
        <v>7</v>
      </c>
      <c r="AD25" s="16">
        <v>63</v>
      </c>
      <c r="AE25" s="17">
        <v>130.5</v>
      </c>
      <c r="AF25" s="34">
        <f>10</f>
        <v>10</v>
      </c>
      <c r="AG25" s="35">
        <v>10</v>
      </c>
      <c r="AH25" s="16">
        <v>50.4</v>
      </c>
      <c r="AI25" s="33" t="s">
        <v>172</v>
      </c>
      <c r="AJ25" s="27">
        <v>3.3</v>
      </c>
      <c r="AK25" s="16">
        <v>4</v>
      </c>
      <c r="AL25" s="16">
        <v>3</v>
      </c>
      <c r="AM25" s="16">
        <v>3.5</v>
      </c>
      <c r="AN25" s="16">
        <v>3</v>
      </c>
      <c r="AO25" s="16">
        <v>3</v>
      </c>
      <c r="AP25" s="16">
        <v>3</v>
      </c>
      <c r="AQ25" s="12">
        <v>3</v>
      </c>
      <c r="AR25" s="16">
        <v>29.7</v>
      </c>
      <c r="AS25" s="17">
        <v>160.19999999999999</v>
      </c>
      <c r="AT25" s="34">
        <v>12</v>
      </c>
      <c r="AU25" s="35">
        <v>12</v>
      </c>
      <c r="AV25" s="16">
        <v>107.1</v>
      </c>
      <c r="AW25" s="33" t="s">
        <v>4</v>
      </c>
      <c r="AX25" s="27">
        <v>3</v>
      </c>
      <c r="AY25" s="16">
        <v>7.5</v>
      </c>
      <c r="AZ25" s="16">
        <v>7</v>
      </c>
      <c r="BA25" s="16">
        <v>7</v>
      </c>
      <c r="BB25" s="16">
        <v>8</v>
      </c>
      <c r="BC25" s="16">
        <v>8</v>
      </c>
      <c r="BD25" s="16">
        <v>8</v>
      </c>
      <c r="BE25" s="12">
        <v>7.5</v>
      </c>
      <c r="BF25" s="16">
        <v>69</v>
      </c>
      <c r="BG25" s="17">
        <v>229.2</v>
      </c>
      <c r="BH25" s="34">
        <v>9</v>
      </c>
      <c r="BI25" s="35">
        <v>12</v>
      </c>
      <c r="BJ25" s="16">
        <v>132.6</v>
      </c>
      <c r="BK25" s="33" t="s">
        <v>13</v>
      </c>
      <c r="BL25" s="27">
        <v>3.4</v>
      </c>
      <c r="BM25" s="16">
        <v>5.5</v>
      </c>
      <c r="BN25" s="16">
        <v>6</v>
      </c>
      <c r="BO25" s="16">
        <v>6</v>
      </c>
      <c r="BP25" s="16">
        <v>5.5</v>
      </c>
      <c r="BQ25" s="16">
        <v>5.5</v>
      </c>
      <c r="BR25" s="16">
        <v>5.5</v>
      </c>
      <c r="BS25" s="12">
        <v>5</v>
      </c>
      <c r="BT25" s="16">
        <v>56.1</v>
      </c>
      <c r="BU25" s="17">
        <v>285.3</v>
      </c>
      <c r="BV25" s="34">
        <v>10</v>
      </c>
      <c r="BW25" s="35">
        <v>12</v>
      </c>
      <c r="BX25" s="16">
        <v>170.85</v>
      </c>
      <c r="BY25" s="33" t="s">
        <v>7</v>
      </c>
      <c r="BZ25" s="27">
        <v>3.1</v>
      </c>
      <c r="CA25" s="16">
        <v>8</v>
      </c>
      <c r="CB25" s="16">
        <v>8</v>
      </c>
      <c r="CC25" s="16">
        <v>8</v>
      </c>
      <c r="CD25" s="16">
        <v>8</v>
      </c>
      <c r="CE25" s="16">
        <v>8</v>
      </c>
      <c r="CF25" s="16">
        <v>8</v>
      </c>
      <c r="CG25" s="12">
        <v>8</v>
      </c>
      <c r="CH25" s="16">
        <v>74.400000000000006</v>
      </c>
      <c r="CI25" s="17">
        <v>359.7</v>
      </c>
      <c r="CJ25" s="34">
        <v>8</v>
      </c>
      <c r="CK25" s="35">
        <v>12</v>
      </c>
      <c r="CL25" s="16">
        <v>199.05</v>
      </c>
      <c r="CM25" s="32">
        <v>2020</v>
      </c>
      <c r="CN25" s="32" t="s">
        <v>175</v>
      </c>
      <c r="CO25" s="32" t="s">
        <v>10</v>
      </c>
    </row>
    <row r="26" spans="1:93" x14ac:dyDescent="0.35">
      <c r="A26" s="31">
        <v>1</v>
      </c>
      <c r="B26" s="31" t="s">
        <v>3</v>
      </c>
      <c r="C26" s="31" t="s">
        <v>203</v>
      </c>
      <c r="D26" s="31">
        <v>21</v>
      </c>
      <c r="E26" s="10">
        <v>547.6</v>
      </c>
      <c r="F26" s="10">
        <v>0</v>
      </c>
      <c r="G26" s="33" t="s">
        <v>137</v>
      </c>
      <c r="H26" s="27">
        <v>3.4</v>
      </c>
      <c r="I26" s="16">
        <v>8.5</v>
      </c>
      <c r="J26" s="16">
        <v>8.5</v>
      </c>
      <c r="K26" s="16">
        <v>8.5</v>
      </c>
      <c r="L26" s="16">
        <v>8.5</v>
      </c>
      <c r="M26" s="16">
        <v>8</v>
      </c>
      <c r="N26" s="16">
        <v>8</v>
      </c>
      <c r="O26" s="12">
        <v>8</v>
      </c>
      <c r="P26" s="16">
        <v>85</v>
      </c>
      <c r="Q26" s="17">
        <v>85</v>
      </c>
      <c r="R26" s="34">
        <v>1</v>
      </c>
      <c r="S26" s="35">
        <v>1</v>
      </c>
      <c r="T26" s="16">
        <v>0</v>
      </c>
      <c r="U26" s="33" t="s">
        <v>176</v>
      </c>
      <c r="V26" s="27">
        <v>3.5</v>
      </c>
      <c r="W26" s="16">
        <v>8.5</v>
      </c>
      <c r="X26" s="16">
        <v>9</v>
      </c>
      <c r="Y26" s="16">
        <v>9</v>
      </c>
      <c r="Z26" s="16">
        <v>8.5</v>
      </c>
      <c r="AA26" s="16">
        <v>9</v>
      </c>
      <c r="AB26" s="16">
        <v>9</v>
      </c>
      <c r="AC26" s="12">
        <v>9</v>
      </c>
      <c r="AD26" s="16">
        <v>94.5</v>
      </c>
      <c r="AE26" s="17">
        <v>179.5</v>
      </c>
      <c r="AF26" s="34">
        <v>1</v>
      </c>
      <c r="AG26" s="35">
        <v>1</v>
      </c>
      <c r="AH26" s="16">
        <v>0</v>
      </c>
      <c r="AI26" s="33" t="s">
        <v>164</v>
      </c>
      <c r="AJ26" s="27">
        <v>3.5</v>
      </c>
      <c r="AK26" s="16">
        <v>9</v>
      </c>
      <c r="AL26" s="16">
        <v>9</v>
      </c>
      <c r="AM26" s="16">
        <v>8.5</v>
      </c>
      <c r="AN26" s="16">
        <v>8.5</v>
      </c>
      <c r="AO26" s="16">
        <v>9</v>
      </c>
      <c r="AP26" s="16">
        <v>9.5</v>
      </c>
      <c r="AQ26" s="12">
        <v>9</v>
      </c>
      <c r="AR26" s="16">
        <v>94.5</v>
      </c>
      <c r="AS26" s="17">
        <v>274</v>
      </c>
      <c r="AT26" s="34">
        <v>1</v>
      </c>
      <c r="AU26" s="35">
        <v>1</v>
      </c>
      <c r="AV26" s="16">
        <v>0</v>
      </c>
      <c r="AW26" s="33" t="s">
        <v>139</v>
      </c>
      <c r="AX26" s="27">
        <v>3.6</v>
      </c>
      <c r="AY26" s="16">
        <v>8</v>
      </c>
      <c r="AZ26" s="16">
        <v>9</v>
      </c>
      <c r="BA26" s="16">
        <v>8</v>
      </c>
      <c r="BB26" s="16">
        <v>8.5</v>
      </c>
      <c r="BC26" s="16">
        <v>8.5</v>
      </c>
      <c r="BD26" s="16">
        <v>8</v>
      </c>
      <c r="BE26" s="12">
        <v>8.5</v>
      </c>
      <c r="BF26" s="16">
        <v>90</v>
      </c>
      <c r="BG26" s="17">
        <v>364</v>
      </c>
      <c r="BH26" s="34">
        <f>2</f>
        <v>2</v>
      </c>
      <c r="BI26" s="35">
        <v>1</v>
      </c>
      <c r="BJ26" s="16">
        <v>0</v>
      </c>
      <c r="BK26" s="33" t="s">
        <v>13</v>
      </c>
      <c r="BL26" s="27">
        <v>3.4</v>
      </c>
      <c r="BM26" s="16">
        <v>8.5</v>
      </c>
      <c r="BN26" s="16">
        <v>8.5</v>
      </c>
      <c r="BO26" s="16">
        <v>8.5</v>
      </c>
      <c r="BP26" s="16">
        <v>8.5</v>
      </c>
      <c r="BQ26" s="16">
        <v>8.5</v>
      </c>
      <c r="BR26" s="16">
        <v>8</v>
      </c>
      <c r="BS26" s="12">
        <v>8</v>
      </c>
      <c r="BT26" s="16">
        <v>86.7</v>
      </c>
      <c r="BU26" s="17">
        <v>450.7</v>
      </c>
      <c r="BV26" s="34">
        <v>3</v>
      </c>
      <c r="BW26" s="35">
        <v>1</v>
      </c>
      <c r="BX26" s="16">
        <v>0</v>
      </c>
      <c r="BY26" s="33" t="s">
        <v>174</v>
      </c>
      <c r="BZ26" s="27">
        <v>3.8</v>
      </c>
      <c r="CA26" s="16">
        <v>8.5</v>
      </c>
      <c r="CB26" s="16">
        <v>9</v>
      </c>
      <c r="CC26" s="16">
        <v>8.5</v>
      </c>
      <c r="CD26" s="16">
        <v>8.5</v>
      </c>
      <c r="CE26" s="16">
        <v>8.5</v>
      </c>
      <c r="CF26" s="16">
        <v>8.5</v>
      </c>
      <c r="CG26" s="12">
        <v>8.5</v>
      </c>
      <c r="CH26" s="16">
        <v>96.9</v>
      </c>
      <c r="CI26" s="17">
        <v>547.6</v>
      </c>
      <c r="CJ26" s="34">
        <f>1</f>
        <v>1</v>
      </c>
      <c r="CK26" s="35">
        <v>1</v>
      </c>
      <c r="CL26" s="16">
        <v>0</v>
      </c>
      <c r="CM26" s="32">
        <v>2016</v>
      </c>
      <c r="CN26" s="32" t="s">
        <v>175</v>
      </c>
      <c r="CO26" s="32" t="s">
        <v>10</v>
      </c>
    </row>
    <row r="27" spans="1:93" x14ac:dyDescent="0.35">
      <c r="A27" s="32">
        <v>2</v>
      </c>
      <c r="B27" s="32" t="s">
        <v>17</v>
      </c>
      <c r="C27" s="32" t="s">
        <v>182</v>
      </c>
      <c r="D27" s="32">
        <v>21</v>
      </c>
      <c r="E27" s="15">
        <v>523.85</v>
      </c>
      <c r="F27" s="15">
        <v>23.75</v>
      </c>
      <c r="G27" s="33" t="s">
        <v>13</v>
      </c>
      <c r="H27" s="27">
        <v>3.4</v>
      </c>
      <c r="I27" s="16">
        <v>8</v>
      </c>
      <c r="J27" s="16">
        <v>8.5</v>
      </c>
      <c r="K27" s="16">
        <v>8.5</v>
      </c>
      <c r="L27" s="16">
        <v>8</v>
      </c>
      <c r="M27" s="16">
        <v>8</v>
      </c>
      <c r="N27" s="16">
        <v>8</v>
      </c>
      <c r="O27" s="12">
        <v>8</v>
      </c>
      <c r="P27" s="16">
        <v>81.599999999999994</v>
      </c>
      <c r="Q27" s="17">
        <v>81.599999999999994</v>
      </c>
      <c r="R27" s="34">
        <f>2</f>
        <v>2</v>
      </c>
      <c r="S27" s="35">
        <f>2</f>
        <v>2</v>
      </c>
      <c r="T27" s="16">
        <v>3.4</v>
      </c>
      <c r="U27" s="33" t="s">
        <v>164</v>
      </c>
      <c r="V27" s="27">
        <v>3.5</v>
      </c>
      <c r="W27" s="16">
        <v>8</v>
      </c>
      <c r="X27" s="16">
        <v>9</v>
      </c>
      <c r="Y27" s="16">
        <v>8.5</v>
      </c>
      <c r="Z27" s="16">
        <v>9</v>
      </c>
      <c r="AA27" s="16">
        <v>8.5</v>
      </c>
      <c r="AB27" s="16">
        <v>8.5</v>
      </c>
      <c r="AC27" s="12">
        <v>9</v>
      </c>
      <c r="AD27" s="16">
        <v>91</v>
      </c>
      <c r="AE27" s="17">
        <v>172.6</v>
      </c>
      <c r="AF27" s="34">
        <v>2</v>
      </c>
      <c r="AG27" s="35">
        <v>2</v>
      </c>
      <c r="AH27" s="16">
        <v>6.9</v>
      </c>
      <c r="AI27" s="33" t="s">
        <v>137</v>
      </c>
      <c r="AJ27" s="27">
        <v>3.4</v>
      </c>
      <c r="AK27" s="16">
        <v>9</v>
      </c>
      <c r="AL27" s="16">
        <v>8.5</v>
      </c>
      <c r="AM27" s="16">
        <v>8.5</v>
      </c>
      <c r="AN27" s="16">
        <v>9</v>
      </c>
      <c r="AO27" s="16">
        <v>8</v>
      </c>
      <c r="AP27" s="16">
        <v>9</v>
      </c>
      <c r="AQ27" s="12">
        <v>9</v>
      </c>
      <c r="AR27" s="16">
        <v>90.1</v>
      </c>
      <c r="AS27" s="17">
        <v>262.7</v>
      </c>
      <c r="AT27" s="34">
        <v>2</v>
      </c>
      <c r="AU27" s="35">
        <v>2</v>
      </c>
      <c r="AV27" s="16">
        <v>11.3</v>
      </c>
      <c r="AW27" s="33" t="s">
        <v>177</v>
      </c>
      <c r="AX27" s="27">
        <v>3.9</v>
      </c>
      <c r="AY27" s="16">
        <v>6.5</v>
      </c>
      <c r="AZ27" s="16">
        <v>6.5</v>
      </c>
      <c r="BA27" s="16">
        <v>7</v>
      </c>
      <c r="BB27" s="16">
        <v>5.5</v>
      </c>
      <c r="BC27" s="16">
        <v>6.5</v>
      </c>
      <c r="BD27" s="16">
        <v>5.5</v>
      </c>
      <c r="BE27" s="12">
        <v>6.5</v>
      </c>
      <c r="BF27" s="16">
        <v>76.05</v>
      </c>
      <c r="BG27" s="17">
        <v>338.75</v>
      </c>
      <c r="BH27" s="34">
        <v>8</v>
      </c>
      <c r="BI27" s="35">
        <v>2</v>
      </c>
      <c r="BJ27" s="16">
        <v>25.25</v>
      </c>
      <c r="BK27" s="33" t="s">
        <v>174</v>
      </c>
      <c r="BL27" s="27">
        <v>3.8</v>
      </c>
      <c r="BM27" s="16">
        <v>8.5</v>
      </c>
      <c r="BN27" s="16">
        <v>9</v>
      </c>
      <c r="BO27" s="16">
        <v>8.5</v>
      </c>
      <c r="BP27" s="16">
        <v>8.5</v>
      </c>
      <c r="BQ27" s="16">
        <v>8</v>
      </c>
      <c r="BR27" s="16">
        <v>8</v>
      </c>
      <c r="BS27" s="12">
        <v>9</v>
      </c>
      <c r="BT27" s="16">
        <v>96.9</v>
      </c>
      <c r="BU27" s="17">
        <v>435.65</v>
      </c>
      <c r="BV27" s="34">
        <v>2</v>
      </c>
      <c r="BW27" s="35">
        <v>2</v>
      </c>
      <c r="BX27" s="16">
        <v>15.05</v>
      </c>
      <c r="BY27" s="33" t="s">
        <v>139</v>
      </c>
      <c r="BZ27" s="27">
        <v>3.6</v>
      </c>
      <c r="CA27" s="16">
        <v>8</v>
      </c>
      <c r="CB27" s="16">
        <v>8</v>
      </c>
      <c r="CC27" s="16">
        <v>8.5</v>
      </c>
      <c r="CD27" s="16">
        <v>8</v>
      </c>
      <c r="CE27" s="16">
        <v>8</v>
      </c>
      <c r="CF27" s="16">
        <v>8.5</v>
      </c>
      <c r="CG27" s="12">
        <v>8.5</v>
      </c>
      <c r="CH27" s="16">
        <v>88.2</v>
      </c>
      <c r="CI27" s="17">
        <v>523.85</v>
      </c>
      <c r="CJ27" s="34">
        <v>5</v>
      </c>
      <c r="CK27" s="35">
        <v>2</v>
      </c>
      <c r="CL27" s="16">
        <v>23.75</v>
      </c>
      <c r="CM27" s="32">
        <v>2016</v>
      </c>
      <c r="CN27" s="32" t="s">
        <v>175</v>
      </c>
      <c r="CO27" s="32" t="s">
        <v>10</v>
      </c>
    </row>
    <row r="28" spans="1:93" x14ac:dyDescent="0.35">
      <c r="A28" s="32">
        <v>3</v>
      </c>
      <c r="B28" s="32" t="s">
        <v>20</v>
      </c>
      <c r="C28" s="32" t="s">
        <v>204</v>
      </c>
      <c r="D28" s="32">
        <v>27</v>
      </c>
      <c r="E28" s="15">
        <v>498.9</v>
      </c>
      <c r="F28" s="15">
        <v>48.7</v>
      </c>
      <c r="G28" s="33" t="s">
        <v>5</v>
      </c>
      <c r="H28" s="27">
        <v>3</v>
      </c>
      <c r="I28" s="16">
        <v>7.5</v>
      </c>
      <c r="J28" s="16">
        <v>7</v>
      </c>
      <c r="K28" s="16">
        <v>7.5</v>
      </c>
      <c r="L28" s="16">
        <v>7</v>
      </c>
      <c r="M28" s="16">
        <v>7</v>
      </c>
      <c r="N28" s="16">
        <v>7</v>
      </c>
      <c r="O28" s="12">
        <v>7</v>
      </c>
      <c r="P28" s="16">
        <v>63</v>
      </c>
      <c r="Q28" s="17">
        <v>63</v>
      </c>
      <c r="R28" s="34">
        <v>10</v>
      </c>
      <c r="S28" s="35">
        <v>10</v>
      </c>
      <c r="T28" s="16">
        <v>22</v>
      </c>
      <c r="U28" s="33" t="s">
        <v>164</v>
      </c>
      <c r="V28" s="27">
        <v>3.5</v>
      </c>
      <c r="W28" s="16">
        <v>8.5</v>
      </c>
      <c r="X28" s="16">
        <v>9</v>
      </c>
      <c r="Y28" s="16">
        <v>8</v>
      </c>
      <c r="Z28" s="16">
        <v>8.5</v>
      </c>
      <c r="AA28" s="16">
        <v>8.5</v>
      </c>
      <c r="AB28" s="16">
        <v>8.5</v>
      </c>
      <c r="AC28" s="12">
        <v>9</v>
      </c>
      <c r="AD28" s="16">
        <v>89.25</v>
      </c>
      <c r="AE28" s="17">
        <v>152.25</v>
      </c>
      <c r="AF28" s="34">
        <v>3</v>
      </c>
      <c r="AG28" s="35">
        <v>5</v>
      </c>
      <c r="AH28" s="16">
        <v>27.25</v>
      </c>
      <c r="AI28" s="33" t="s">
        <v>205</v>
      </c>
      <c r="AJ28" s="27">
        <v>3.7</v>
      </c>
      <c r="AK28" s="16">
        <v>7</v>
      </c>
      <c r="AL28" s="16">
        <v>7</v>
      </c>
      <c r="AM28" s="16">
        <v>7.5</v>
      </c>
      <c r="AN28" s="16">
        <v>7</v>
      </c>
      <c r="AO28" s="16">
        <v>7</v>
      </c>
      <c r="AP28" s="16">
        <v>7.5</v>
      </c>
      <c r="AQ28" s="12">
        <v>7.5</v>
      </c>
      <c r="AR28" s="16">
        <v>79.55</v>
      </c>
      <c r="AS28" s="17">
        <v>231.8</v>
      </c>
      <c r="AT28" s="34">
        <v>6</v>
      </c>
      <c r="AU28" s="35">
        <v>5</v>
      </c>
      <c r="AV28" s="16">
        <v>42.2</v>
      </c>
      <c r="AW28" s="33" t="s">
        <v>137</v>
      </c>
      <c r="AX28" s="27">
        <v>3.4</v>
      </c>
      <c r="AY28" s="16">
        <v>8.5</v>
      </c>
      <c r="AZ28" s="16">
        <v>7.5</v>
      </c>
      <c r="BA28" s="16">
        <v>8</v>
      </c>
      <c r="BB28" s="16">
        <v>8</v>
      </c>
      <c r="BC28" s="16">
        <v>7.5</v>
      </c>
      <c r="BD28" s="16">
        <v>8.5</v>
      </c>
      <c r="BE28" s="12">
        <v>8.5</v>
      </c>
      <c r="BF28" s="16">
        <v>83.3</v>
      </c>
      <c r="BG28" s="17">
        <v>315.10000000000002</v>
      </c>
      <c r="BH28" s="34">
        <v>5</v>
      </c>
      <c r="BI28" s="35">
        <v>5</v>
      </c>
      <c r="BJ28" s="16">
        <v>48.9</v>
      </c>
      <c r="BK28" s="33" t="s">
        <v>174</v>
      </c>
      <c r="BL28" s="27">
        <v>3.8</v>
      </c>
      <c r="BM28" s="16">
        <v>8.5</v>
      </c>
      <c r="BN28" s="16">
        <v>9</v>
      </c>
      <c r="BO28" s="16">
        <v>7.5</v>
      </c>
      <c r="BP28" s="16">
        <v>9</v>
      </c>
      <c r="BQ28" s="16">
        <v>8.5</v>
      </c>
      <c r="BR28" s="16">
        <v>8.5</v>
      </c>
      <c r="BS28" s="12">
        <v>9</v>
      </c>
      <c r="BT28" s="16">
        <v>98.8</v>
      </c>
      <c r="BU28" s="17">
        <v>413.9</v>
      </c>
      <c r="BV28" s="34">
        <v>1</v>
      </c>
      <c r="BW28" s="35">
        <v>3</v>
      </c>
      <c r="BX28" s="16">
        <v>36.799999999999997</v>
      </c>
      <c r="BY28" s="33" t="s">
        <v>13</v>
      </c>
      <c r="BZ28" s="27">
        <v>3.4</v>
      </c>
      <c r="CA28" s="16">
        <v>8</v>
      </c>
      <c r="CB28" s="16">
        <v>8.5</v>
      </c>
      <c r="CC28" s="16">
        <v>8</v>
      </c>
      <c r="CD28" s="16">
        <v>8.5</v>
      </c>
      <c r="CE28" s="16">
        <v>8</v>
      </c>
      <c r="CF28" s="16">
        <v>9</v>
      </c>
      <c r="CG28" s="12">
        <v>8.5</v>
      </c>
      <c r="CH28" s="16">
        <v>85</v>
      </c>
      <c r="CI28" s="17">
        <v>498.9</v>
      </c>
      <c r="CJ28" s="34">
        <v>6</v>
      </c>
      <c r="CK28" s="35">
        <v>3</v>
      </c>
      <c r="CL28" s="16">
        <v>48.7</v>
      </c>
      <c r="CM28" s="32">
        <v>2016</v>
      </c>
      <c r="CN28" s="32" t="s">
        <v>175</v>
      </c>
      <c r="CO28" s="32" t="s">
        <v>10</v>
      </c>
    </row>
    <row r="29" spans="1:93" x14ac:dyDescent="0.35">
      <c r="A29" s="32">
        <v>4</v>
      </c>
      <c r="B29" s="32" t="s">
        <v>206</v>
      </c>
      <c r="C29" s="32" t="s">
        <v>193</v>
      </c>
      <c r="D29" s="32">
        <v>26</v>
      </c>
      <c r="E29" s="15">
        <v>481.35</v>
      </c>
      <c r="F29" s="15">
        <v>66.25</v>
      </c>
      <c r="G29" s="33" t="s">
        <v>137</v>
      </c>
      <c r="H29" s="27">
        <v>3.4</v>
      </c>
      <c r="I29" s="16">
        <v>8</v>
      </c>
      <c r="J29" s="16">
        <v>8</v>
      </c>
      <c r="K29" s="16">
        <v>9</v>
      </c>
      <c r="L29" s="16">
        <v>8</v>
      </c>
      <c r="M29" s="16">
        <v>8</v>
      </c>
      <c r="N29" s="16">
        <v>8.5</v>
      </c>
      <c r="O29" s="12">
        <v>8</v>
      </c>
      <c r="P29" s="16">
        <v>81.599999999999994</v>
      </c>
      <c r="Q29" s="17">
        <v>81.599999999999994</v>
      </c>
      <c r="R29" s="34">
        <f>2</f>
        <v>2</v>
      </c>
      <c r="S29" s="35">
        <f>2</f>
        <v>2</v>
      </c>
      <c r="T29" s="16">
        <v>3.4</v>
      </c>
      <c r="U29" s="33" t="s">
        <v>13</v>
      </c>
      <c r="V29" s="27">
        <v>3.4</v>
      </c>
      <c r="W29" s="16">
        <v>8</v>
      </c>
      <c r="X29" s="16">
        <v>7</v>
      </c>
      <c r="Y29" s="16">
        <v>7.5</v>
      </c>
      <c r="Z29" s="16">
        <v>7.5</v>
      </c>
      <c r="AA29" s="16">
        <v>7</v>
      </c>
      <c r="AB29" s="16">
        <v>7.5</v>
      </c>
      <c r="AC29" s="12">
        <v>7.5</v>
      </c>
      <c r="AD29" s="16">
        <v>76.5</v>
      </c>
      <c r="AE29" s="17">
        <v>158.1</v>
      </c>
      <c r="AF29" s="34">
        <f>8</f>
        <v>8</v>
      </c>
      <c r="AG29" s="35">
        <v>3</v>
      </c>
      <c r="AH29" s="16">
        <v>21.4</v>
      </c>
      <c r="AI29" s="33" t="s">
        <v>177</v>
      </c>
      <c r="AJ29" s="27">
        <v>3.9</v>
      </c>
      <c r="AK29" s="16">
        <v>6</v>
      </c>
      <c r="AL29" s="16">
        <v>5.5</v>
      </c>
      <c r="AM29" s="16">
        <v>6.5</v>
      </c>
      <c r="AN29" s="16">
        <v>6.5</v>
      </c>
      <c r="AO29" s="16">
        <v>4.5</v>
      </c>
      <c r="AP29" s="16">
        <v>6</v>
      </c>
      <c r="AQ29" s="12">
        <v>5.5</v>
      </c>
      <c r="AR29" s="16">
        <v>68.25</v>
      </c>
      <c r="AS29" s="17">
        <v>226.35</v>
      </c>
      <c r="AT29" s="34">
        <v>11</v>
      </c>
      <c r="AU29" s="35">
        <v>7</v>
      </c>
      <c r="AV29" s="16">
        <v>47.65</v>
      </c>
      <c r="AW29" s="33" t="s">
        <v>139</v>
      </c>
      <c r="AX29" s="27">
        <v>3.6</v>
      </c>
      <c r="AY29" s="16">
        <v>8</v>
      </c>
      <c r="AZ29" s="16">
        <v>8.5</v>
      </c>
      <c r="BA29" s="16">
        <v>8</v>
      </c>
      <c r="BB29" s="16">
        <v>9</v>
      </c>
      <c r="BC29" s="16">
        <v>7.5</v>
      </c>
      <c r="BD29" s="16">
        <v>8.5</v>
      </c>
      <c r="BE29" s="12">
        <v>9</v>
      </c>
      <c r="BF29" s="16">
        <v>90</v>
      </c>
      <c r="BG29" s="17">
        <v>316.35000000000002</v>
      </c>
      <c r="BH29" s="34">
        <f>2</f>
        <v>2</v>
      </c>
      <c r="BI29" s="35">
        <v>4</v>
      </c>
      <c r="BJ29" s="16">
        <v>47.65</v>
      </c>
      <c r="BK29" s="33" t="s">
        <v>164</v>
      </c>
      <c r="BL29" s="27">
        <v>3.5</v>
      </c>
      <c r="BM29" s="16">
        <v>7</v>
      </c>
      <c r="BN29" s="16">
        <v>6.5</v>
      </c>
      <c r="BO29" s="16">
        <v>6.5</v>
      </c>
      <c r="BP29" s="16">
        <v>7</v>
      </c>
      <c r="BQ29" s="16">
        <v>7</v>
      </c>
      <c r="BR29" s="16">
        <v>6.5</v>
      </c>
      <c r="BS29" s="12">
        <v>6.5</v>
      </c>
      <c r="BT29" s="16">
        <v>70</v>
      </c>
      <c r="BU29" s="17">
        <v>386.35</v>
      </c>
      <c r="BV29" s="34">
        <v>7</v>
      </c>
      <c r="BW29" s="35">
        <v>5</v>
      </c>
      <c r="BX29" s="16">
        <v>64.349999999999994</v>
      </c>
      <c r="BY29" s="33" t="s">
        <v>174</v>
      </c>
      <c r="BZ29" s="27">
        <v>3.8</v>
      </c>
      <c r="CA29" s="16">
        <v>8.5</v>
      </c>
      <c r="CB29" s="16">
        <v>8.5</v>
      </c>
      <c r="CC29" s="16">
        <v>8</v>
      </c>
      <c r="CD29" s="16">
        <v>8.5</v>
      </c>
      <c r="CE29" s="16">
        <v>8.5</v>
      </c>
      <c r="CF29" s="16">
        <v>8</v>
      </c>
      <c r="CG29" s="12">
        <v>8</v>
      </c>
      <c r="CH29" s="16">
        <v>95</v>
      </c>
      <c r="CI29" s="17">
        <v>481.35</v>
      </c>
      <c r="CJ29" s="34">
        <v>3</v>
      </c>
      <c r="CK29" s="35">
        <v>4</v>
      </c>
      <c r="CL29" s="16">
        <v>66.25</v>
      </c>
      <c r="CM29" s="32">
        <v>2016</v>
      </c>
      <c r="CN29" s="32" t="s">
        <v>175</v>
      </c>
      <c r="CO29" s="32" t="s">
        <v>10</v>
      </c>
    </row>
    <row r="30" spans="1:93" x14ac:dyDescent="0.35">
      <c r="A30" s="32">
        <v>5</v>
      </c>
      <c r="B30" s="32" t="s">
        <v>34</v>
      </c>
      <c r="C30" s="32" t="s">
        <v>207</v>
      </c>
      <c r="D30" s="32">
        <v>23</v>
      </c>
      <c r="E30" s="15">
        <v>475.8</v>
      </c>
      <c r="F30" s="15">
        <v>71.8</v>
      </c>
      <c r="G30" s="33" t="s">
        <v>5</v>
      </c>
      <c r="H30" s="27">
        <v>3</v>
      </c>
      <c r="I30" s="16">
        <v>8.5</v>
      </c>
      <c r="J30" s="16">
        <v>8</v>
      </c>
      <c r="K30" s="16">
        <v>8</v>
      </c>
      <c r="L30" s="16">
        <v>8</v>
      </c>
      <c r="M30" s="16">
        <v>8</v>
      </c>
      <c r="N30" s="16">
        <v>8</v>
      </c>
      <c r="O30" s="12">
        <v>8.5</v>
      </c>
      <c r="P30" s="16">
        <v>72</v>
      </c>
      <c r="Q30" s="17">
        <v>72</v>
      </c>
      <c r="R30" s="34">
        <f>5</f>
        <v>5</v>
      </c>
      <c r="S30" s="35">
        <f>5</f>
        <v>5</v>
      </c>
      <c r="T30" s="16">
        <v>13</v>
      </c>
      <c r="U30" s="33" t="s">
        <v>4</v>
      </c>
      <c r="V30" s="27">
        <v>3</v>
      </c>
      <c r="W30" s="16">
        <v>8</v>
      </c>
      <c r="X30" s="16">
        <v>8</v>
      </c>
      <c r="Y30" s="16">
        <v>8.5</v>
      </c>
      <c r="Z30" s="16">
        <v>8</v>
      </c>
      <c r="AA30" s="16">
        <v>8.5</v>
      </c>
      <c r="AB30" s="16">
        <v>9</v>
      </c>
      <c r="AC30" s="12">
        <v>8.5</v>
      </c>
      <c r="AD30" s="16">
        <v>75</v>
      </c>
      <c r="AE30" s="17">
        <v>147</v>
      </c>
      <c r="AF30" s="34">
        <v>10</v>
      </c>
      <c r="AG30" s="35">
        <v>8</v>
      </c>
      <c r="AH30" s="16">
        <v>32.5</v>
      </c>
      <c r="AI30" s="33" t="s">
        <v>7</v>
      </c>
      <c r="AJ30" s="27">
        <v>3.1</v>
      </c>
      <c r="AK30" s="16">
        <v>7.5</v>
      </c>
      <c r="AL30" s="16">
        <v>8</v>
      </c>
      <c r="AM30" s="16">
        <v>8</v>
      </c>
      <c r="AN30" s="16">
        <v>7.5</v>
      </c>
      <c r="AO30" s="16">
        <v>8</v>
      </c>
      <c r="AP30" s="16">
        <v>7.5</v>
      </c>
      <c r="AQ30" s="12">
        <v>8</v>
      </c>
      <c r="AR30" s="16">
        <v>72.849999999999994</v>
      </c>
      <c r="AS30" s="17">
        <v>219.85</v>
      </c>
      <c r="AT30" s="34">
        <v>10</v>
      </c>
      <c r="AU30" s="35">
        <v>9</v>
      </c>
      <c r="AV30" s="16">
        <v>54.15</v>
      </c>
      <c r="AW30" s="33" t="s">
        <v>176</v>
      </c>
      <c r="AX30" s="27">
        <v>3.5</v>
      </c>
      <c r="AY30" s="16">
        <v>8</v>
      </c>
      <c r="AZ30" s="16">
        <v>9</v>
      </c>
      <c r="BA30" s="16">
        <v>8.5</v>
      </c>
      <c r="BB30" s="16">
        <v>8.5</v>
      </c>
      <c r="BC30" s="16">
        <v>8</v>
      </c>
      <c r="BD30" s="16">
        <v>8.5</v>
      </c>
      <c r="BE30" s="12">
        <v>8.5</v>
      </c>
      <c r="BF30" s="16">
        <v>89.25</v>
      </c>
      <c r="BG30" s="17">
        <v>309.10000000000002</v>
      </c>
      <c r="BH30" s="34">
        <v>4</v>
      </c>
      <c r="BI30" s="35">
        <v>6</v>
      </c>
      <c r="BJ30" s="16">
        <v>54.9</v>
      </c>
      <c r="BK30" s="33" t="s">
        <v>164</v>
      </c>
      <c r="BL30" s="27">
        <v>3.5</v>
      </c>
      <c r="BM30" s="16">
        <v>7.5</v>
      </c>
      <c r="BN30" s="16">
        <v>7</v>
      </c>
      <c r="BO30" s="16">
        <v>7.5</v>
      </c>
      <c r="BP30" s="16">
        <v>7.5</v>
      </c>
      <c r="BQ30" s="16">
        <v>7</v>
      </c>
      <c r="BR30" s="16">
        <v>8</v>
      </c>
      <c r="BS30" s="12">
        <v>7</v>
      </c>
      <c r="BT30" s="16">
        <v>77</v>
      </c>
      <c r="BU30" s="17">
        <v>386.1</v>
      </c>
      <c r="BV30" s="34">
        <v>5</v>
      </c>
      <c r="BW30" s="35">
        <v>6</v>
      </c>
      <c r="BX30" s="16">
        <v>64.599999999999994</v>
      </c>
      <c r="BY30" s="33" t="s">
        <v>177</v>
      </c>
      <c r="BZ30" s="27">
        <v>3.9</v>
      </c>
      <c r="CA30" s="16">
        <v>7.5</v>
      </c>
      <c r="CB30" s="16">
        <v>8</v>
      </c>
      <c r="CC30" s="16">
        <v>7.5</v>
      </c>
      <c r="CD30" s="16">
        <v>7.5</v>
      </c>
      <c r="CE30" s="16">
        <v>7.5</v>
      </c>
      <c r="CF30" s="16">
        <v>8</v>
      </c>
      <c r="CG30" s="12">
        <v>8.5</v>
      </c>
      <c r="CH30" s="16">
        <v>89.7</v>
      </c>
      <c r="CI30" s="17">
        <v>475.8</v>
      </c>
      <c r="CJ30" s="34">
        <v>4</v>
      </c>
      <c r="CK30" s="35">
        <v>5</v>
      </c>
      <c r="CL30" s="16">
        <v>71.8</v>
      </c>
      <c r="CM30" s="32">
        <v>2016</v>
      </c>
      <c r="CN30" s="32" t="s">
        <v>175</v>
      </c>
      <c r="CO30" s="32" t="s">
        <v>10</v>
      </c>
    </row>
    <row r="31" spans="1:93" x14ac:dyDescent="0.35">
      <c r="A31" s="32">
        <v>6</v>
      </c>
      <c r="B31" s="32" t="s">
        <v>55</v>
      </c>
      <c r="C31" s="32" t="s">
        <v>208</v>
      </c>
      <c r="D31" s="32">
        <v>28</v>
      </c>
      <c r="E31" s="15">
        <v>475.1</v>
      </c>
      <c r="F31" s="15">
        <v>72.5</v>
      </c>
      <c r="G31" s="33" t="s">
        <v>137</v>
      </c>
      <c r="H31" s="27">
        <v>3.4</v>
      </c>
      <c r="I31" s="16">
        <v>7</v>
      </c>
      <c r="J31" s="16">
        <v>7</v>
      </c>
      <c r="K31" s="16">
        <v>6.5</v>
      </c>
      <c r="L31" s="16">
        <v>7</v>
      </c>
      <c r="M31" s="16">
        <v>7.5</v>
      </c>
      <c r="N31" s="16">
        <v>7</v>
      </c>
      <c r="O31" s="12">
        <v>6.5</v>
      </c>
      <c r="P31" s="16">
        <v>71.400000000000006</v>
      </c>
      <c r="Q31" s="17">
        <v>71.400000000000006</v>
      </c>
      <c r="R31" s="34">
        <v>8</v>
      </c>
      <c r="S31" s="35">
        <v>8</v>
      </c>
      <c r="T31" s="16">
        <v>13.6</v>
      </c>
      <c r="U31" s="33" t="s">
        <v>7</v>
      </c>
      <c r="V31" s="27">
        <v>3.1</v>
      </c>
      <c r="W31" s="16">
        <v>8.5</v>
      </c>
      <c r="X31" s="16">
        <v>8.5</v>
      </c>
      <c r="Y31" s="16">
        <v>8.5</v>
      </c>
      <c r="Z31" s="16">
        <v>9</v>
      </c>
      <c r="AA31" s="16">
        <v>8.5</v>
      </c>
      <c r="AB31" s="16">
        <v>9</v>
      </c>
      <c r="AC31" s="12">
        <v>8.5</v>
      </c>
      <c r="AD31" s="16">
        <v>79.05</v>
      </c>
      <c r="AE31" s="17">
        <v>150.44999999999999</v>
      </c>
      <c r="AF31" s="34">
        <v>6</v>
      </c>
      <c r="AG31" s="35">
        <v>6</v>
      </c>
      <c r="AH31" s="16">
        <v>29.05</v>
      </c>
      <c r="AI31" s="33" t="s">
        <v>164</v>
      </c>
      <c r="AJ31" s="27">
        <v>3.5</v>
      </c>
      <c r="AK31" s="16">
        <v>7.5</v>
      </c>
      <c r="AL31" s="16">
        <v>7</v>
      </c>
      <c r="AM31" s="16">
        <v>8</v>
      </c>
      <c r="AN31" s="16">
        <v>8</v>
      </c>
      <c r="AO31" s="16">
        <v>7.5</v>
      </c>
      <c r="AP31" s="16">
        <v>8</v>
      </c>
      <c r="AQ31" s="12">
        <v>8</v>
      </c>
      <c r="AR31" s="16">
        <v>82.25</v>
      </c>
      <c r="AS31" s="17">
        <v>232.7</v>
      </c>
      <c r="AT31" s="34">
        <v>5</v>
      </c>
      <c r="AU31" s="35">
        <v>3</v>
      </c>
      <c r="AV31" s="16">
        <v>41.3</v>
      </c>
      <c r="AW31" s="33" t="s">
        <v>174</v>
      </c>
      <c r="AX31" s="27">
        <v>3.8</v>
      </c>
      <c r="AY31" s="16">
        <v>8.5</v>
      </c>
      <c r="AZ31" s="16">
        <v>8.5</v>
      </c>
      <c r="BA31" s="16">
        <v>8</v>
      </c>
      <c r="BB31" s="16">
        <v>8</v>
      </c>
      <c r="BC31" s="16">
        <v>8</v>
      </c>
      <c r="BD31" s="16">
        <v>8</v>
      </c>
      <c r="BE31" s="12">
        <v>8.5</v>
      </c>
      <c r="BF31" s="16">
        <v>93.1</v>
      </c>
      <c r="BG31" s="17">
        <v>325.8</v>
      </c>
      <c r="BH31" s="34">
        <v>1</v>
      </c>
      <c r="BI31" s="35">
        <v>3</v>
      </c>
      <c r="BJ31" s="16">
        <v>38.200000000000003</v>
      </c>
      <c r="BK31" s="33" t="s">
        <v>5</v>
      </c>
      <c r="BL31" s="27">
        <v>3</v>
      </c>
      <c r="BM31" s="16">
        <v>7.5</v>
      </c>
      <c r="BN31" s="16">
        <v>7.5</v>
      </c>
      <c r="BO31" s="16">
        <v>7</v>
      </c>
      <c r="BP31" s="16">
        <v>7.5</v>
      </c>
      <c r="BQ31" s="16">
        <v>7</v>
      </c>
      <c r="BR31" s="16">
        <v>7.5</v>
      </c>
      <c r="BS31" s="12">
        <v>6.5</v>
      </c>
      <c r="BT31" s="16">
        <v>66</v>
      </c>
      <c r="BU31" s="17">
        <v>391.8</v>
      </c>
      <c r="BV31" s="34">
        <v>8</v>
      </c>
      <c r="BW31" s="35">
        <v>4</v>
      </c>
      <c r="BX31" s="16">
        <v>58.9</v>
      </c>
      <c r="BY31" s="33" t="s">
        <v>13</v>
      </c>
      <c r="BZ31" s="27">
        <v>3.4</v>
      </c>
      <c r="CA31" s="16">
        <v>8.5</v>
      </c>
      <c r="CB31" s="16">
        <v>8.5</v>
      </c>
      <c r="CC31" s="16">
        <v>8</v>
      </c>
      <c r="CD31" s="16">
        <v>8</v>
      </c>
      <c r="CE31" s="16">
        <v>8.5</v>
      </c>
      <c r="CF31" s="16">
        <v>8</v>
      </c>
      <c r="CG31" s="12">
        <v>8</v>
      </c>
      <c r="CH31" s="16">
        <v>83.3</v>
      </c>
      <c r="CI31" s="17">
        <v>475.1</v>
      </c>
      <c r="CJ31" s="34">
        <v>7</v>
      </c>
      <c r="CK31" s="35">
        <v>6</v>
      </c>
      <c r="CL31" s="16">
        <v>72.5</v>
      </c>
      <c r="CM31" s="32">
        <v>2016</v>
      </c>
      <c r="CN31" s="32" t="s">
        <v>175</v>
      </c>
      <c r="CO31" s="32" t="s">
        <v>10</v>
      </c>
    </row>
    <row r="32" spans="1:93" x14ac:dyDescent="0.35">
      <c r="A32" s="32">
        <v>7</v>
      </c>
      <c r="B32" s="32" t="s">
        <v>18</v>
      </c>
      <c r="C32" s="32" t="s">
        <v>194</v>
      </c>
      <c r="D32" s="32">
        <v>30</v>
      </c>
      <c r="E32" s="15">
        <v>451.2</v>
      </c>
      <c r="F32" s="15">
        <v>96.4</v>
      </c>
      <c r="G32" s="33" t="s">
        <v>137</v>
      </c>
      <c r="H32" s="27">
        <v>3.4</v>
      </c>
      <c r="I32" s="16">
        <v>4.5</v>
      </c>
      <c r="J32" s="16">
        <v>4.5</v>
      </c>
      <c r="K32" s="16">
        <v>5</v>
      </c>
      <c r="L32" s="16">
        <v>4.5</v>
      </c>
      <c r="M32" s="16">
        <v>5</v>
      </c>
      <c r="N32" s="16">
        <v>4.5</v>
      </c>
      <c r="O32" s="12">
        <v>4</v>
      </c>
      <c r="P32" s="16">
        <v>45.9</v>
      </c>
      <c r="Q32" s="17">
        <v>45.9</v>
      </c>
      <c r="R32" s="34">
        <v>12</v>
      </c>
      <c r="S32" s="35">
        <v>12</v>
      </c>
      <c r="T32" s="16">
        <v>39.1</v>
      </c>
      <c r="U32" s="33" t="s">
        <v>5</v>
      </c>
      <c r="V32" s="27">
        <v>3</v>
      </c>
      <c r="W32" s="16">
        <v>6.5</v>
      </c>
      <c r="X32" s="16">
        <v>6.5</v>
      </c>
      <c r="Y32" s="16">
        <v>6</v>
      </c>
      <c r="Z32" s="16">
        <v>6</v>
      </c>
      <c r="AA32" s="16">
        <v>6.5</v>
      </c>
      <c r="AB32" s="16">
        <v>6.5</v>
      </c>
      <c r="AC32" s="12">
        <v>7.5</v>
      </c>
      <c r="AD32" s="16">
        <v>58.5</v>
      </c>
      <c r="AE32" s="17">
        <v>104.4</v>
      </c>
      <c r="AF32" s="34">
        <v>12</v>
      </c>
      <c r="AG32" s="35">
        <v>12</v>
      </c>
      <c r="AH32" s="16">
        <v>75.099999999999994</v>
      </c>
      <c r="AI32" s="33" t="s">
        <v>13</v>
      </c>
      <c r="AJ32" s="27">
        <v>3.4</v>
      </c>
      <c r="AK32" s="16">
        <v>8</v>
      </c>
      <c r="AL32" s="16">
        <v>8.5</v>
      </c>
      <c r="AM32" s="16">
        <v>8</v>
      </c>
      <c r="AN32" s="16">
        <v>8.5</v>
      </c>
      <c r="AO32" s="16">
        <v>8.5</v>
      </c>
      <c r="AP32" s="16">
        <v>8.5</v>
      </c>
      <c r="AQ32" s="12">
        <v>8.5</v>
      </c>
      <c r="AR32" s="16">
        <v>86.7</v>
      </c>
      <c r="AS32" s="17">
        <v>191.1</v>
      </c>
      <c r="AT32" s="34">
        <v>3</v>
      </c>
      <c r="AU32" s="35">
        <v>11</v>
      </c>
      <c r="AV32" s="16">
        <v>82.9</v>
      </c>
      <c r="AW32" s="33" t="s">
        <v>172</v>
      </c>
      <c r="AX32" s="27">
        <v>3.3</v>
      </c>
      <c r="AY32" s="16">
        <v>7.5</v>
      </c>
      <c r="AZ32" s="16">
        <v>8</v>
      </c>
      <c r="BA32" s="16">
        <v>8</v>
      </c>
      <c r="BB32" s="16">
        <v>8</v>
      </c>
      <c r="BC32" s="16">
        <v>8</v>
      </c>
      <c r="BD32" s="16">
        <v>8</v>
      </c>
      <c r="BE32" s="12">
        <v>8</v>
      </c>
      <c r="BF32" s="16">
        <v>79.2</v>
      </c>
      <c r="BG32" s="17">
        <v>270.3</v>
      </c>
      <c r="BH32" s="34">
        <v>6</v>
      </c>
      <c r="BI32" s="35">
        <v>11</v>
      </c>
      <c r="BJ32" s="16">
        <v>93.7</v>
      </c>
      <c r="BK32" s="33" t="s">
        <v>164</v>
      </c>
      <c r="BL32" s="27">
        <v>3.5</v>
      </c>
      <c r="BM32" s="16">
        <v>8</v>
      </c>
      <c r="BN32" s="16">
        <v>8</v>
      </c>
      <c r="BO32" s="16">
        <v>8</v>
      </c>
      <c r="BP32" s="16">
        <v>8</v>
      </c>
      <c r="BQ32" s="16">
        <v>8</v>
      </c>
      <c r="BR32" s="16">
        <v>8</v>
      </c>
      <c r="BS32" s="12">
        <v>8.5</v>
      </c>
      <c r="BT32" s="16">
        <v>84</v>
      </c>
      <c r="BU32" s="17">
        <v>354.3</v>
      </c>
      <c r="BV32" s="34">
        <v>4</v>
      </c>
      <c r="BW32" s="35">
        <v>10</v>
      </c>
      <c r="BX32" s="16">
        <v>96.4</v>
      </c>
      <c r="BY32" s="33" t="s">
        <v>174</v>
      </c>
      <c r="BZ32" s="27">
        <v>3.8</v>
      </c>
      <c r="CA32" s="16">
        <v>8</v>
      </c>
      <c r="CB32" s="16">
        <v>8.5</v>
      </c>
      <c r="CC32" s="16">
        <v>8.5</v>
      </c>
      <c r="CD32" s="16">
        <v>8</v>
      </c>
      <c r="CE32" s="16">
        <v>8.5</v>
      </c>
      <c r="CF32" s="16">
        <v>8.5</v>
      </c>
      <c r="CG32" s="12">
        <v>8.5</v>
      </c>
      <c r="CH32" s="16">
        <v>96.9</v>
      </c>
      <c r="CI32" s="17">
        <v>451.2</v>
      </c>
      <c r="CJ32" s="34">
        <f>1</f>
        <v>1</v>
      </c>
      <c r="CK32" s="35">
        <v>7</v>
      </c>
      <c r="CL32" s="16">
        <v>96.4</v>
      </c>
      <c r="CM32" s="32">
        <v>2016</v>
      </c>
      <c r="CN32" s="32" t="s">
        <v>175</v>
      </c>
      <c r="CO32" s="32" t="s">
        <v>10</v>
      </c>
    </row>
    <row r="33" spans="1:93" x14ac:dyDescent="0.35">
      <c r="A33" s="32">
        <v>8</v>
      </c>
      <c r="B33" s="32" t="s">
        <v>210</v>
      </c>
      <c r="C33" s="32" t="s">
        <v>209</v>
      </c>
      <c r="D33" s="32">
        <v>23</v>
      </c>
      <c r="E33" s="15">
        <v>442.9</v>
      </c>
      <c r="F33" s="15">
        <v>104.7</v>
      </c>
      <c r="G33" s="33" t="s">
        <v>7</v>
      </c>
      <c r="H33" s="27">
        <v>3.1</v>
      </c>
      <c r="I33" s="16">
        <v>8</v>
      </c>
      <c r="J33" s="16">
        <v>8</v>
      </c>
      <c r="K33" s="16">
        <v>8</v>
      </c>
      <c r="L33" s="16">
        <v>8</v>
      </c>
      <c r="M33" s="16">
        <v>8</v>
      </c>
      <c r="N33" s="16">
        <v>8</v>
      </c>
      <c r="O33" s="12">
        <v>8</v>
      </c>
      <c r="P33" s="16">
        <v>74.400000000000006</v>
      </c>
      <c r="Q33" s="17">
        <v>74.400000000000006</v>
      </c>
      <c r="R33" s="34">
        <v>4</v>
      </c>
      <c r="S33" s="35">
        <v>4</v>
      </c>
      <c r="T33" s="16">
        <v>10.6</v>
      </c>
      <c r="U33" s="33" t="s">
        <v>13</v>
      </c>
      <c r="V33" s="27">
        <v>3.4</v>
      </c>
      <c r="W33" s="16">
        <v>8</v>
      </c>
      <c r="X33" s="16">
        <v>8</v>
      </c>
      <c r="Y33" s="16">
        <v>8</v>
      </c>
      <c r="Z33" s="16">
        <v>8</v>
      </c>
      <c r="AA33" s="16">
        <v>8</v>
      </c>
      <c r="AB33" s="16">
        <v>8</v>
      </c>
      <c r="AC33" s="12">
        <v>8</v>
      </c>
      <c r="AD33" s="16">
        <v>81.599999999999994</v>
      </c>
      <c r="AE33" s="17">
        <v>156</v>
      </c>
      <c r="AF33" s="34">
        <f>4</f>
        <v>4</v>
      </c>
      <c r="AG33" s="35">
        <v>4</v>
      </c>
      <c r="AH33" s="16">
        <v>23.5</v>
      </c>
      <c r="AI33" s="33" t="s">
        <v>137</v>
      </c>
      <c r="AJ33" s="27">
        <v>3.4</v>
      </c>
      <c r="AK33" s="16">
        <v>7.5</v>
      </c>
      <c r="AL33" s="16">
        <v>7.5</v>
      </c>
      <c r="AM33" s="16">
        <v>7.5</v>
      </c>
      <c r="AN33" s="16">
        <v>6.5</v>
      </c>
      <c r="AO33" s="16">
        <v>6.5</v>
      </c>
      <c r="AP33" s="16">
        <v>7.5</v>
      </c>
      <c r="AQ33" s="12">
        <v>7.5</v>
      </c>
      <c r="AR33" s="16">
        <v>76.5</v>
      </c>
      <c r="AS33" s="17">
        <v>232.5</v>
      </c>
      <c r="AT33" s="34">
        <f>7</f>
        <v>7</v>
      </c>
      <c r="AU33" s="35">
        <v>4</v>
      </c>
      <c r="AV33" s="16">
        <v>41.5</v>
      </c>
      <c r="AW33" s="33" t="s">
        <v>5</v>
      </c>
      <c r="AX33" s="27">
        <v>3</v>
      </c>
      <c r="AY33" s="16">
        <v>7.5</v>
      </c>
      <c r="AZ33" s="16">
        <v>8</v>
      </c>
      <c r="BA33" s="16">
        <v>7.5</v>
      </c>
      <c r="BB33" s="16">
        <v>8</v>
      </c>
      <c r="BC33" s="16">
        <v>7.5</v>
      </c>
      <c r="BD33" s="16">
        <v>7.5</v>
      </c>
      <c r="BE33" s="12">
        <v>8.5</v>
      </c>
      <c r="BF33" s="16">
        <v>69</v>
      </c>
      <c r="BG33" s="17">
        <v>301.5</v>
      </c>
      <c r="BH33" s="34">
        <v>11</v>
      </c>
      <c r="BI33" s="35">
        <v>8</v>
      </c>
      <c r="BJ33" s="16">
        <v>62.5</v>
      </c>
      <c r="BK33" s="33" t="s">
        <v>6</v>
      </c>
      <c r="BL33" s="27">
        <v>3</v>
      </c>
      <c r="BM33" s="16">
        <v>7</v>
      </c>
      <c r="BN33" s="16">
        <v>7</v>
      </c>
      <c r="BO33" s="16">
        <v>7.5</v>
      </c>
      <c r="BP33" s="16">
        <v>6.5</v>
      </c>
      <c r="BQ33" s="16">
        <v>6.5</v>
      </c>
      <c r="BR33" s="16">
        <v>7.5</v>
      </c>
      <c r="BS33" s="12">
        <v>6.5</v>
      </c>
      <c r="BT33" s="16">
        <v>61.5</v>
      </c>
      <c r="BU33" s="17">
        <v>363</v>
      </c>
      <c r="BV33" s="34">
        <v>12</v>
      </c>
      <c r="BW33" s="35">
        <v>8</v>
      </c>
      <c r="BX33" s="16">
        <v>87.7</v>
      </c>
      <c r="BY33" s="33" t="s">
        <v>140</v>
      </c>
      <c r="BZ33" s="27">
        <v>3.4</v>
      </c>
      <c r="CA33" s="16">
        <v>8</v>
      </c>
      <c r="CB33" s="16">
        <v>7.5</v>
      </c>
      <c r="CC33" s="16">
        <v>8</v>
      </c>
      <c r="CD33" s="16">
        <v>7.5</v>
      </c>
      <c r="CE33" s="16">
        <v>7.5</v>
      </c>
      <c r="CF33" s="16">
        <v>8</v>
      </c>
      <c r="CG33" s="12">
        <v>8</v>
      </c>
      <c r="CH33" s="16">
        <v>79.900000000000006</v>
      </c>
      <c r="CI33" s="17">
        <v>442.9</v>
      </c>
      <c r="CJ33" s="34">
        <v>9</v>
      </c>
      <c r="CK33" s="35">
        <v>8</v>
      </c>
      <c r="CL33" s="16">
        <v>104.7</v>
      </c>
      <c r="CM33" s="32">
        <v>2016</v>
      </c>
      <c r="CN33" s="32" t="s">
        <v>175</v>
      </c>
      <c r="CO33" s="32" t="s">
        <v>10</v>
      </c>
    </row>
    <row r="34" spans="1:93" x14ac:dyDescent="0.35">
      <c r="A34" s="32">
        <v>9</v>
      </c>
      <c r="B34" s="32" t="s">
        <v>212</v>
      </c>
      <c r="C34" s="32" t="s">
        <v>211</v>
      </c>
      <c r="D34" s="32">
        <v>33</v>
      </c>
      <c r="E34" s="15">
        <v>436</v>
      </c>
      <c r="F34" s="15">
        <v>111.6</v>
      </c>
      <c r="G34" s="33" t="s">
        <v>8</v>
      </c>
      <c r="H34" s="27">
        <v>3</v>
      </c>
      <c r="I34" s="16">
        <v>8</v>
      </c>
      <c r="J34" s="16">
        <v>8.5</v>
      </c>
      <c r="K34" s="16">
        <v>8</v>
      </c>
      <c r="L34" s="16">
        <v>8</v>
      </c>
      <c r="M34" s="16">
        <v>8</v>
      </c>
      <c r="N34" s="16">
        <v>8.5</v>
      </c>
      <c r="O34" s="12">
        <v>8</v>
      </c>
      <c r="P34" s="16">
        <v>72</v>
      </c>
      <c r="Q34" s="17">
        <v>72</v>
      </c>
      <c r="R34" s="34">
        <f>5</f>
        <v>5</v>
      </c>
      <c r="S34" s="35">
        <f>5</f>
        <v>5</v>
      </c>
      <c r="T34" s="16">
        <v>13</v>
      </c>
      <c r="U34" s="33" t="s">
        <v>7</v>
      </c>
      <c r="V34" s="27">
        <v>3.1</v>
      </c>
      <c r="W34" s="16">
        <v>8</v>
      </c>
      <c r="X34" s="16">
        <v>8.5</v>
      </c>
      <c r="Y34" s="16">
        <v>8.5</v>
      </c>
      <c r="Z34" s="16">
        <v>8</v>
      </c>
      <c r="AA34" s="16">
        <v>8</v>
      </c>
      <c r="AB34" s="16">
        <v>8.5</v>
      </c>
      <c r="AC34" s="12">
        <v>8.5</v>
      </c>
      <c r="AD34" s="16">
        <v>77.5</v>
      </c>
      <c r="AE34" s="17">
        <v>149.5</v>
      </c>
      <c r="AF34" s="34">
        <v>7</v>
      </c>
      <c r="AG34" s="35">
        <v>7</v>
      </c>
      <c r="AH34" s="16">
        <v>30</v>
      </c>
      <c r="AI34" s="33" t="s">
        <v>13</v>
      </c>
      <c r="AJ34" s="27">
        <v>3.4</v>
      </c>
      <c r="AK34" s="16">
        <v>7.5</v>
      </c>
      <c r="AL34" s="16">
        <v>8</v>
      </c>
      <c r="AM34" s="16">
        <v>7</v>
      </c>
      <c r="AN34" s="16">
        <v>7.5</v>
      </c>
      <c r="AO34" s="16">
        <v>7.5</v>
      </c>
      <c r="AP34" s="16">
        <v>7.5</v>
      </c>
      <c r="AQ34" s="12">
        <v>8</v>
      </c>
      <c r="AR34" s="16">
        <v>76.5</v>
      </c>
      <c r="AS34" s="17">
        <v>226</v>
      </c>
      <c r="AT34" s="34">
        <f>7</f>
        <v>7</v>
      </c>
      <c r="AU34" s="35">
        <v>8</v>
      </c>
      <c r="AV34" s="16">
        <v>48</v>
      </c>
      <c r="AW34" s="33" t="s">
        <v>5</v>
      </c>
      <c r="AX34" s="27">
        <v>3</v>
      </c>
      <c r="AY34" s="16">
        <v>8</v>
      </c>
      <c r="AZ34" s="16">
        <v>8</v>
      </c>
      <c r="BA34" s="16">
        <v>7.5</v>
      </c>
      <c r="BB34" s="16">
        <v>7.5</v>
      </c>
      <c r="BC34" s="16">
        <v>7.5</v>
      </c>
      <c r="BD34" s="16">
        <v>8</v>
      </c>
      <c r="BE34" s="12">
        <v>8</v>
      </c>
      <c r="BF34" s="16">
        <v>70.5</v>
      </c>
      <c r="BG34" s="17">
        <v>296.5</v>
      </c>
      <c r="BH34" s="34">
        <v>10</v>
      </c>
      <c r="BI34" s="35">
        <v>9</v>
      </c>
      <c r="BJ34" s="16">
        <v>67.5</v>
      </c>
      <c r="BK34" s="33" t="s">
        <v>6</v>
      </c>
      <c r="BL34" s="27">
        <v>3</v>
      </c>
      <c r="BM34" s="16">
        <v>6.5</v>
      </c>
      <c r="BN34" s="16">
        <v>7</v>
      </c>
      <c r="BO34" s="16">
        <v>7</v>
      </c>
      <c r="BP34" s="16">
        <v>7</v>
      </c>
      <c r="BQ34" s="16">
        <v>7</v>
      </c>
      <c r="BR34" s="16">
        <v>7</v>
      </c>
      <c r="BS34" s="12">
        <v>7</v>
      </c>
      <c r="BT34" s="16">
        <v>63</v>
      </c>
      <c r="BU34" s="17">
        <v>359.5</v>
      </c>
      <c r="BV34" s="34">
        <v>10</v>
      </c>
      <c r="BW34" s="35">
        <v>9</v>
      </c>
      <c r="BX34" s="16">
        <v>91.2</v>
      </c>
      <c r="BY34" s="33" t="s">
        <v>4</v>
      </c>
      <c r="BZ34" s="27">
        <v>3</v>
      </c>
      <c r="CA34" s="16">
        <v>8.5</v>
      </c>
      <c r="CB34" s="16">
        <v>8.5</v>
      </c>
      <c r="CC34" s="16">
        <v>8.5</v>
      </c>
      <c r="CD34" s="16">
        <v>8.5</v>
      </c>
      <c r="CE34" s="16">
        <v>8</v>
      </c>
      <c r="CF34" s="16">
        <v>8.5</v>
      </c>
      <c r="CG34" s="12">
        <v>8</v>
      </c>
      <c r="CH34" s="16">
        <v>76.5</v>
      </c>
      <c r="CI34" s="17">
        <v>436</v>
      </c>
      <c r="CJ34" s="34">
        <f>10</f>
        <v>10</v>
      </c>
      <c r="CK34" s="35">
        <v>9</v>
      </c>
      <c r="CL34" s="16">
        <v>111.6</v>
      </c>
      <c r="CM34" s="32">
        <v>2016</v>
      </c>
      <c r="CN34" s="32" t="s">
        <v>175</v>
      </c>
      <c r="CO34" s="32" t="s">
        <v>10</v>
      </c>
    </row>
    <row r="35" spans="1:93" x14ac:dyDescent="0.35">
      <c r="A35" s="32">
        <v>10</v>
      </c>
      <c r="B35" s="32" t="s">
        <v>34</v>
      </c>
      <c r="C35" s="32" t="s">
        <v>213</v>
      </c>
      <c r="D35" s="32">
        <v>22</v>
      </c>
      <c r="E35" s="15">
        <v>431.65</v>
      </c>
      <c r="F35" s="15">
        <v>115.95</v>
      </c>
      <c r="G35" s="33" t="s">
        <v>5</v>
      </c>
      <c r="H35" s="27">
        <v>3</v>
      </c>
      <c r="I35" s="16">
        <v>6.5</v>
      </c>
      <c r="J35" s="16">
        <v>6.5</v>
      </c>
      <c r="K35" s="16">
        <v>7</v>
      </c>
      <c r="L35" s="16">
        <v>7</v>
      </c>
      <c r="M35" s="16">
        <v>6.5</v>
      </c>
      <c r="N35" s="16">
        <v>6.5</v>
      </c>
      <c r="O35" s="12">
        <v>7</v>
      </c>
      <c r="P35" s="16">
        <v>60</v>
      </c>
      <c r="Q35" s="17">
        <v>60</v>
      </c>
      <c r="R35" s="34">
        <v>11</v>
      </c>
      <c r="S35" s="35">
        <v>11</v>
      </c>
      <c r="T35" s="16">
        <v>25</v>
      </c>
      <c r="U35" s="33" t="s">
        <v>13</v>
      </c>
      <c r="V35" s="27">
        <v>3.4</v>
      </c>
      <c r="W35" s="16">
        <v>8</v>
      </c>
      <c r="X35" s="16">
        <v>8</v>
      </c>
      <c r="Y35" s="16">
        <v>8</v>
      </c>
      <c r="Z35" s="16">
        <v>8</v>
      </c>
      <c r="AA35" s="16">
        <v>8</v>
      </c>
      <c r="AB35" s="16">
        <v>8</v>
      </c>
      <c r="AC35" s="12">
        <v>8</v>
      </c>
      <c r="AD35" s="16">
        <v>81.599999999999994</v>
      </c>
      <c r="AE35" s="17">
        <v>141.6</v>
      </c>
      <c r="AF35" s="34">
        <f>4</f>
        <v>4</v>
      </c>
      <c r="AG35" s="35">
        <f>9</f>
        <v>9</v>
      </c>
      <c r="AH35" s="16">
        <v>37.9</v>
      </c>
      <c r="AI35" s="33" t="s">
        <v>176</v>
      </c>
      <c r="AJ35" s="27">
        <v>3.5</v>
      </c>
      <c r="AK35" s="16">
        <v>9</v>
      </c>
      <c r="AL35" s="16">
        <v>8</v>
      </c>
      <c r="AM35" s="16">
        <v>8.5</v>
      </c>
      <c r="AN35" s="16">
        <v>8</v>
      </c>
      <c r="AO35" s="16">
        <v>8</v>
      </c>
      <c r="AP35" s="16">
        <v>8.5</v>
      </c>
      <c r="AQ35" s="12">
        <v>8</v>
      </c>
      <c r="AR35" s="16">
        <v>85.75</v>
      </c>
      <c r="AS35" s="17">
        <v>227.35</v>
      </c>
      <c r="AT35" s="34">
        <v>4</v>
      </c>
      <c r="AU35" s="35">
        <v>6</v>
      </c>
      <c r="AV35" s="16">
        <v>46.65</v>
      </c>
      <c r="AW35" s="33" t="s">
        <v>164</v>
      </c>
      <c r="AX35" s="27">
        <v>3.5</v>
      </c>
      <c r="AY35" s="16">
        <v>7</v>
      </c>
      <c r="AZ35" s="16">
        <v>7</v>
      </c>
      <c r="BA35" s="16">
        <v>7</v>
      </c>
      <c r="BB35" s="16">
        <v>7.5</v>
      </c>
      <c r="BC35" s="16">
        <v>7.5</v>
      </c>
      <c r="BD35" s="16">
        <v>7.5</v>
      </c>
      <c r="BE35" s="12">
        <v>7.5</v>
      </c>
      <c r="BF35" s="16">
        <v>77</v>
      </c>
      <c r="BG35" s="17">
        <v>304.35000000000002</v>
      </c>
      <c r="BH35" s="34">
        <v>7</v>
      </c>
      <c r="BI35" s="35">
        <v>7</v>
      </c>
      <c r="BJ35" s="16">
        <v>59.65</v>
      </c>
      <c r="BK35" s="33" t="s">
        <v>174</v>
      </c>
      <c r="BL35" s="27">
        <v>3.8</v>
      </c>
      <c r="BM35" s="16">
        <v>6</v>
      </c>
      <c r="BN35" s="16">
        <v>5.5</v>
      </c>
      <c r="BO35" s="16">
        <v>5.5</v>
      </c>
      <c r="BP35" s="16">
        <v>5.5</v>
      </c>
      <c r="BQ35" s="16">
        <v>5.5</v>
      </c>
      <c r="BR35" s="16">
        <v>5</v>
      </c>
      <c r="BS35" s="12">
        <v>6</v>
      </c>
      <c r="BT35" s="16">
        <v>62.7</v>
      </c>
      <c r="BU35" s="17">
        <v>367.05</v>
      </c>
      <c r="BV35" s="34">
        <v>11</v>
      </c>
      <c r="BW35" s="35">
        <v>7</v>
      </c>
      <c r="BX35" s="16">
        <v>83.65</v>
      </c>
      <c r="BY35" s="33" t="s">
        <v>137</v>
      </c>
      <c r="BZ35" s="27">
        <v>3.4</v>
      </c>
      <c r="CA35" s="16">
        <v>6.5</v>
      </c>
      <c r="CB35" s="16">
        <v>5.5</v>
      </c>
      <c r="CC35" s="16">
        <v>5</v>
      </c>
      <c r="CD35" s="16">
        <v>6.5</v>
      </c>
      <c r="CE35" s="16">
        <v>7</v>
      </c>
      <c r="CF35" s="16">
        <v>6.5</v>
      </c>
      <c r="CG35" s="12">
        <v>6</v>
      </c>
      <c r="CH35" s="16">
        <v>64.599999999999994</v>
      </c>
      <c r="CI35" s="17">
        <v>431.65</v>
      </c>
      <c r="CJ35" s="34">
        <v>12</v>
      </c>
      <c r="CK35" s="35">
        <v>10</v>
      </c>
      <c r="CL35" s="16">
        <v>115.95</v>
      </c>
      <c r="CM35" s="32">
        <v>2016</v>
      </c>
      <c r="CN35" s="32" t="s">
        <v>175</v>
      </c>
      <c r="CO35" s="32" t="s">
        <v>10</v>
      </c>
    </row>
    <row r="36" spans="1:93" x14ac:dyDescent="0.35">
      <c r="A36" s="32">
        <v>11</v>
      </c>
      <c r="B36" s="32" t="s">
        <v>40</v>
      </c>
      <c r="C36" s="32" t="s">
        <v>214</v>
      </c>
      <c r="D36" s="32">
        <v>18</v>
      </c>
      <c r="E36" s="15">
        <v>425.3</v>
      </c>
      <c r="F36" s="15">
        <v>122.3</v>
      </c>
      <c r="G36" s="33" t="s">
        <v>5</v>
      </c>
      <c r="H36" s="27">
        <v>3</v>
      </c>
      <c r="I36" s="16">
        <v>8</v>
      </c>
      <c r="J36" s="16">
        <v>8</v>
      </c>
      <c r="K36" s="16">
        <v>8</v>
      </c>
      <c r="L36" s="16">
        <v>8</v>
      </c>
      <c r="M36" s="16">
        <v>8</v>
      </c>
      <c r="N36" s="16">
        <v>8.5</v>
      </c>
      <c r="O36" s="12">
        <v>8.5</v>
      </c>
      <c r="P36" s="16">
        <v>72</v>
      </c>
      <c r="Q36" s="17">
        <v>72</v>
      </c>
      <c r="R36" s="34">
        <f>5</f>
        <v>5</v>
      </c>
      <c r="S36" s="35">
        <f>5</f>
        <v>5</v>
      </c>
      <c r="T36" s="16">
        <v>13</v>
      </c>
      <c r="U36" s="33" t="s">
        <v>7</v>
      </c>
      <c r="V36" s="27">
        <v>3.1</v>
      </c>
      <c r="W36" s="16">
        <v>6.5</v>
      </c>
      <c r="X36" s="16">
        <v>6</v>
      </c>
      <c r="Y36" s="16">
        <v>7</v>
      </c>
      <c r="Z36" s="16">
        <v>7.5</v>
      </c>
      <c r="AA36" s="16">
        <v>7</v>
      </c>
      <c r="AB36" s="16">
        <v>7</v>
      </c>
      <c r="AC36" s="12">
        <v>6.5</v>
      </c>
      <c r="AD36" s="16">
        <v>63.55</v>
      </c>
      <c r="AE36" s="17">
        <v>135.55000000000001</v>
      </c>
      <c r="AF36" s="34">
        <v>11</v>
      </c>
      <c r="AG36" s="35">
        <v>11</v>
      </c>
      <c r="AH36" s="16">
        <v>43.95</v>
      </c>
      <c r="AI36" s="33" t="s">
        <v>13</v>
      </c>
      <c r="AJ36" s="27">
        <v>3.4</v>
      </c>
      <c r="AK36" s="16">
        <v>7</v>
      </c>
      <c r="AL36" s="16">
        <v>6.5</v>
      </c>
      <c r="AM36" s="16">
        <v>7.5</v>
      </c>
      <c r="AN36" s="16">
        <v>7.5</v>
      </c>
      <c r="AO36" s="16">
        <v>7</v>
      </c>
      <c r="AP36" s="16">
        <v>6.5</v>
      </c>
      <c r="AQ36" s="12">
        <v>7.5</v>
      </c>
      <c r="AR36" s="16">
        <v>73.099999999999994</v>
      </c>
      <c r="AS36" s="17">
        <v>208.65</v>
      </c>
      <c r="AT36" s="34">
        <v>9</v>
      </c>
      <c r="AU36" s="35">
        <v>10</v>
      </c>
      <c r="AV36" s="16">
        <v>65.349999999999994</v>
      </c>
      <c r="AW36" s="33" t="s">
        <v>137</v>
      </c>
      <c r="AX36" s="27">
        <v>3.4</v>
      </c>
      <c r="AY36" s="16">
        <v>7</v>
      </c>
      <c r="AZ36" s="16">
        <v>7</v>
      </c>
      <c r="BA36" s="16">
        <v>6.5</v>
      </c>
      <c r="BB36" s="16">
        <v>7</v>
      </c>
      <c r="BC36" s="16">
        <v>7.5</v>
      </c>
      <c r="BD36" s="16">
        <v>7</v>
      </c>
      <c r="BE36" s="12">
        <v>8</v>
      </c>
      <c r="BF36" s="16">
        <v>71.400000000000006</v>
      </c>
      <c r="BG36" s="17">
        <v>280.05</v>
      </c>
      <c r="BH36" s="34">
        <v>9</v>
      </c>
      <c r="BI36" s="35">
        <v>10</v>
      </c>
      <c r="BJ36" s="16">
        <v>83.95</v>
      </c>
      <c r="BK36" s="33" t="s">
        <v>164</v>
      </c>
      <c r="BL36" s="27">
        <v>3.5</v>
      </c>
      <c r="BM36" s="16">
        <v>6</v>
      </c>
      <c r="BN36" s="16">
        <v>5.5</v>
      </c>
      <c r="BO36" s="16">
        <v>5.5</v>
      </c>
      <c r="BP36" s="16">
        <v>6.5</v>
      </c>
      <c r="BQ36" s="16">
        <v>6</v>
      </c>
      <c r="BR36" s="16">
        <v>6.5</v>
      </c>
      <c r="BS36" s="12">
        <v>7</v>
      </c>
      <c r="BT36" s="16">
        <v>64.75</v>
      </c>
      <c r="BU36" s="17">
        <v>344.8</v>
      </c>
      <c r="BV36" s="34">
        <v>9</v>
      </c>
      <c r="BW36" s="35">
        <v>11</v>
      </c>
      <c r="BX36" s="16">
        <v>105.9</v>
      </c>
      <c r="BY36" s="33" t="s">
        <v>176</v>
      </c>
      <c r="BZ36" s="27">
        <v>3.5</v>
      </c>
      <c r="CA36" s="16">
        <v>7.5</v>
      </c>
      <c r="CB36" s="16">
        <v>8</v>
      </c>
      <c r="CC36" s="16">
        <v>7.5</v>
      </c>
      <c r="CD36" s="16">
        <v>7</v>
      </c>
      <c r="CE36" s="16">
        <v>8</v>
      </c>
      <c r="CF36" s="16">
        <v>7.5</v>
      </c>
      <c r="CG36" s="12">
        <v>8</v>
      </c>
      <c r="CH36" s="16">
        <v>80.5</v>
      </c>
      <c r="CI36" s="17">
        <v>425.3</v>
      </c>
      <c r="CJ36" s="34">
        <v>8</v>
      </c>
      <c r="CK36" s="35">
        <v>11</v>
      </c>
      <c r="CL36" s="16">
        <v>122.3</v>
      </c>
      <c r="CM36" s="32">
        <v>2016</v>
      </c>
      <c r="CN36" s="32" t="s">
        <v>175</v>
      </c>
      <c r="CO36" s="32" t="s">
        <v>10</v>
      </c>
    </row>
    <row r="37" spans="1:93" x14ac:dyDescent="0.35">
      <c r="A37" s="32">
        <v>12</v>
      </c>
      <c r="B37" s="32" t="s">
        <v>181</v>
      </c>
      <c r="C37" s="32" t="s">
        <v>215</v>
      </c>
      <c r="D37" s="32">
        <v>21</v>
      </c>
      <c r="E37" s="15">
        <v>364.5</v>
      </c>
      <c r="F37" s="15">
        <v>183.1</v>
      </c>
      <c r="G37" s="33" t="s">
        <v>7</v>
      </c>
      <c r="H37" s="27">
        <v>3.1</v>
      </c>
      <c r="I37" s="16">
        <v>6.5</v>
      </c>
      <c r="J37" s="16">
        <v>7</v>
      </c>
      <c r="K37" s="16">
        <v>7</v>
      </c>
      <c r="L37" s="16">
        <v>7</v>
      </c>
      <c r="M37" s="16">
        <v>7</v>
      </c>
      <c r="N37" s="16">
        <v>7</v>
      </c>
      <c r="O37" s="12">
        <v>6.5</v>
      </c>
      <c r="P37" s="16">
        <v>65.099999999999994</v>
      </c>
      <c r="Q37" s="17">
        <v>65.099999999999994</v>
      </c>
      <c r="R37" s="34">
        <v>9</v>
      </c>
      <c r="S37" s="35">
        <v>9</v>
      </c>
      <c r="T37" s="16">
        <v>19.899999999999999</v>
      </c>
      <c r="U37" s="33" t="s">
        <v>137</v>
      </c>
      <c r="V37" s="27">
        <v>3.4</v>
      </c>
      <c r="W37" s="16">
        <v>7</v>
      </c>
      <c r="X37" s="16">
        <v>7.5</v>
      </c>
      <c r="Y37" s="16">
        <v>8</v>
      </c>
      <c r="Z37" s="16">
        <v>7.5</v>
      </c>
      <c r="AA37" s="16">
        <v>7.5</v>
      </c>
      <c r="AB37" s="16">
        <v>7.5</v>
      </c>
      <c r="AC37" s="12">
        <v>7</v>
      </c>
      <c r="AD37" s="16">
        <v>76.5</v>
      </c>
      <c r="AE37" s="17">
        <v>141.6</v>
      </c>
      <c r="AF37" s="34">
        <f>8</f>
        <v>8</v>
      </c>
      <c r="AG37" s="35">
        <f>9</f>
        <v>9</v>
      </c>
      <c r="AH37" s="16">
        <v>37.9</v>
      </c>
      <c r="AI37" s="33" t="s">
        <v>164</v>
      </c>
      <c r="AJ37" s="27">
        <v>3.5</v>
      </c>
      <c r="AK37" s="16">
        <v>4</v>
      </c>
      <c r="AL37" s="16">
        <v>4</v>
      </c>
      <c r="AM37" s="16">
        <v>4.5</v>
      </c>
      <c r="AN37" s="16">
        <v>4</v>
      </c>
      <c r="AO37" s="16">
        <v>5.5</v>
      </c>
      <c r="AP37" s="16">
        <v>4</v>
      </c>
      <c r="AQ37" s="12">
        <v>3.5</v>
      </c>
      <c r="AR37" s="16">
        <v>42</v>
      </c>
      <c r="AS37" s="17">
        <v>183.6</v>
      </c>
      <c r="AT37" s="34">
        <v>12</v>
      </c>
      <c r="AU37" s="35">
        <v>12</v>
      </c>
      <c r="AV37" s="16">
        <v>90.4</v>
      </c>
      <c r="AW37" s="33" t="s">
        <v>174</v>
      </c>
      <c r="AX37" s="27">
        <v>3.8</v>
      </c>
      <c r="AY37" s="16">
        <v>2.5</v>
      </c>
      <c r="AZ37" s="16">
        <v>3</v>
      </c>
      <c r="BA37" s="16">
        <v>3</v>
      </c>
      <c r="BB37" s="16">
        <v>3</v>
      </c>
      <c r="BC37" s="16">
        <v>3.5</v>
      </c>
      <c r="BD37" s="16">
        <v>3</v>
      </c>
      <c r="BE37" s="12">
        <v>2.5</v>
      </c>
      <c r="BF37" s="16">
        <v>34.200000000000003</v>
      </c>
      <c r="BG37" s="17">
        <v>217.8</v>
      </c>
      <c r="BH37" s="34">
        <v>12</v>
      </c>
      <c r="BI37" s="35">
        <v>12</v>
      </c>
      <c r="BJ37" s="16">
        <v>146.19999999999999</v>
      </c>
      <c r="BK37" s="33" t="s">
        <v>139</v>
      </c>
      <c r="BL37" s="27">
        <v>3.6</v>
      </c>
      <c r="BM37" s="16">
        <v>6.5</v>
      </c>
      <c r="BN37" s="16">
        <v>6.5</v>
      </c>
      <c r="BO37" s="16">
        <v>7</v>
      </c>
      <c r="BP37" s="16">
        <v>6.5</v>
      </c>
      <c r="BQ37" s="16">
        <v>6.5</v>
      </c>
      <c r="BR37" s="16">
        <v>6.5</v>
      </c>
      <c r="BS37" s="12">
        <v>6.5</v>
      </c>
      <c r="BT37" s="16">
        <v>70.2</v>
      </c>
      <c r="BU37" s="17">
        <v>288</v>
      </c>
      <c r="BV37" s="34">
        <v>6</v>
      </c>
      <c r="BW37" s="35">
        <v>12</v>
      </c>
      <c r="BX37" s="16">
        <v>162.69999999999999</v>
      </c>
      <c r="BY37" s="33" t="s">
        <v>13</v>
      </c>
      <c r="BZ37" s="27">
        <v>3.4</v>
      </c>
      <c r="CA37" s="16">
        <v>7</v>
      </c>
      <c r="CB37" s="16">
        <v>7.5</v>
      </c>
      <c r="CC37" s="16">
        <v>7.5</v>
      </c>
      <c r="CD37" s="16">
        <v>7.5</v>
      </c>
      <c r="CE37" s="16">
        <v>7.5</v>
      </c>
      <c r="CF37" s="16">
        <v>7.5</v>
      </c>
      <c r="CG37" s="12">
        <v>7.5</v>
      </c>
      <c r="CH37" s="16">
        <v>76.5</v>
      </c>
      <c r="CI37" s="17">
        <v>364.5</v>
      </c>
      <c r="CJ37" s="34">
        <f>10</f>
        <v>10</v>
      </c>
      <c r="CK37" s="35">
        <v>12</v>
      </c>
      <c r="CL37" s="16">
        <v>183.1</v>
      </c>
      <c r="CM37" s="32">
        <v>2016</v>
      </c>
      <c r="CN37" s="32" t="s">
        <v>175</v>
      </c>
      <c r="CO37" s="32" t="s">
        <v>10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80EBCA-7E34-40C8-874B-F787B804B62E}">
  <dimension ref="A1:CO37"/>
  <sheetViews>
    <sheetView zoomScale="69" workbookViewId="0">
      <pane xSplit="3" topLeftCell="BT1" activePane="topRight" state="frozen"/>
      <selection pane="topRight" activeCell="CB15" sqref="CB15"/>
    </sheetView>
  </sheetViews>
  <sheetFormatPr defaultRowHeight="14.5" x14ac:dyDescent="0.35"/>
  <cols>
    <col min="1" max="2" width="8.7265625" style="22"/>
    <col min="3" max="3" width="20.453125" style="22" bestFit="1" customWidth="1"/>
    <col min="4" max="4" width="8.7265625" style="22"/>
    <col min="5" max="6" width="8.7265625" style="6"/>
    <col min="7" max="8" width="8.7265625" style="22"/>
    <col min="9" max="17" width="8.7265625" style="6"/>
    <col min="18" max="19" width="8.7265625" style="22"/>
    <col min="20" max="20" width="8.7265625" style="6"/>
    <col min="21" max="22" width="8.7265625" style="22"/>
    <col min="23" max="31" width="8.7265625" style="6"/>
    <col min="32" max="33" width="8.7265625" style="22"/>
    <col min="34" max="34" width="8.7265625" style="6"/>
    <col min="35" max="36" width="8.7265625" style="22"/>
    <col min="37" max="45" width="8.7265625" style="6"/>
    <col min="46" max="47" width="8.7265625" style="22"/>
    <col min="48" max="48" width="8.7265625" style="6"/>
    <col min="49" max="50" width="8.7265625" style="22"/>
    <col min="51" max="59" width="8.7265625" style="6"/>
    <col min="60" max="61" width="8.7265625" style="22"/>
    <col min="62" max="62" width="8.7265625" style="6"/>
    <col min="63" max="64" width="8.7265625" style="22"/>
    <col min="65" max="73" width="8.7265625" style="6"/>
    <col min="74" max="75" width="8.7265625" style="22"/>
    <col min="76" max="76" width="8.7265625" style="6"/>
    <col min="77" max="78" width="8.7265625" style="22"/>
    <col min="79" max="87" width="8.7265625" style="6"/>
    <col min="88" max="89" width="8.7265625" style="22"/>
    <col min="90" max="90" width="8.7265625" style="6"/>
    <col min="91" max="93" width="8.7265625" style="22"/>
    <col min="94" max="16384" width="8.7265625" style="1"/>
  </cols>
  <sheetData>
    <row r="1" spans="1:93" x14ac:dyDescent="0.35">
      <c r="A1" s="22" t="s">
        <v>233</v>
      </c>
      <c r="B1" s="22" t="s">
        <v>131</v>
      </c>
      <c r="C1" s="22" t="s">
        <v>92</v>
      </c>
      <c r="D1" s="22" t="s">
        <v>93</v>
      </c>
      <c r="E1" s="6" t="s">
        <v>94</v>
      </c>
      <c r="F1" s="6" t="s">
        <v>95</v>
      </c>
      <c r="G1" s="23" t="s">
        <v>97</v>
      </c>
      <c r="H1" s="22" t="s">
        <v>104</v>
      </c>
      <c r="I1" s="6" t="s">
        <v>57</v>
      </c>
      <c r="J1" s="6" t="s">
        <v>58</v>
      </c>
      <c r="K1" s="6" t="s">
        <v>59</v>
      </c>
      <c r="L1" s="6" t="s">
        <v>60</v>
      </c>
      <c r="M1" s="6" t="s">
        <v>61</v>
      </c>
      <c r="N1" s="6" t="s">
        <v>62</v>
      </c>
      <c r="O1" s="6" t="s">
        <v>63</v>
      </c>
      <c r="P1" s="6" t="s">
        <v>96</v>
      </c>
      <c r="Q1" s="6" t="s">
        <v>98</v>
      </c>
      <c r="R1" s="22" t="s">
        <v>99</v>
      </c>
      <c r="S1" s="22" t="s">
        <v>100</v>
      </c>
      <c r="T1" s="6" t="s">
        <v>101</v>
      </c>
      <c r="U1" s="23" t="s">
        <v>102</v>
      </c>
      <c r="V1" s="22" t="s">
        <v>103</v>
      </c>
      <c r="W1" s="6" t="s">
        <v>64</v>
      </c>
      <c r="X1" s="6" t="s">
        <v>65</v>
      </c>
      <c r="Y1" s="6" t="s">
        <v>66</v>
      </c>
      <c r="Z1" s="6" t="s">
        <v>67</v>
      </c>
      <c r="AA1" s="6" t="s">
        <v>68</v>
      </c>
      <c r="AB1" s="6" t="s">
        <v>69</v>
      </c>
      <c r="AC1" s="6" t="s">
        <v>70</v>
      </c>
      <c r="AD1" s="6" t="s">
        <v>105</v>
      </c>
      <c r="AE1" s="6" t="s">
        <v>106</v>
      </c>
      <c r="AF1" s="22" t="s">
        <v>107</v>
      </c>
      <c r="AG1" s="22" t="s">
        <v>108</v>
      </c>
      <c r="AH1" s="6" t="s">
        <v>109</v>
      </c>
      <c r="AI1" s="23" t="s">
        <v>110</v>
      </c>
      <c r="AJ1" s="22" t="s">
        <v>123</v>
      </c>
      <c r="AK1" s="6" t="s">
        <v>71</v>
      </c>
      <c r="AL1" s="6" t="s">
        <v>72</v>
      </c>
      <c r="AM1" s="6" t="s">
        <v>73</v>
      </c>
      <c r="AN1" s="6" t="s">
        <v>74</v>
      </c>
      <c r="AO1" s="6" t="s">
        <v>75</v>
      </c>
      <c r="AP1" s="6" t="s">
        <v>76</v>
      </c>
      <c r="AQ1" s="6" t="s">
        <v>77</v>
      </c>
      <c r="AR1" s="6" t="s">
        <v>111</v>
      </c>
      <c r="AS1" s="6" t="s">
        <v>112</v>
      </c>
      <c r="AT1" s="22" t="s">
        <v>113</v>
      </c>
      <c r="AU1" s="22" t="s">
        <v>114</v>
      </c>
      <c r="AV1" s="6" t="s">
        <v>115</v>
      </c>
      <c r="AW1" s="23" t="s">
        <v>116</v>
      </c>
      <c r="AX1" s="22" t="s">
        <v>124</v>
      </c>
      <c r="AY1" s="6" t="s">
        <v>78</v>
      </c>
      <c r="AZ1" s="6" t="s">
        <v>79</v>
      </c>
      <c r="BA1" s="6" t="s">
        <v>80</v>
      </c>
      <c r="BB1" s="6" t="s">
        <v>81</v>
      </c>
      <c r="BC1" s="6" t="s">
        <v>82</v>
      </c>
      <c r="BD1" s="6" t="s">
        <v>83</v>
      </c>
      <c r="BE1" s="6" t="s">
        <v>84</v>
      </c>
      <c r="BF1" s="6" t="s">
        <v>117</v>
      </c>
      <c r="BG1" s="6" t="s">
        <v>118</v>
      </c>
      <c r="BH1" s="22" t="s">
        <v>119</v>
      </c>
      <c r="BI1" s="22" t="s">
        <v>120</v>
      </c>
      <c r="BJ1" s="6" t="s">
        <v>121</v>
      </c>
      <c r="BK1" s="23" t="s">
        <v>122</v>
      </c>
      <c r="BL1" s="22" t="s">
        <v>125</v>
      </c>
      <c r="BM1" s="6" t="s">
        <v>85</v>
      </c>
      <c r="BN1" s="6" t="s">
        <v>86</v>
      </c>
      <c r="BO1" s="6" t="s">
        <v>87</v>
      </c>
      <c r="BP1" s="6" t="s">
        <v>88</v>
      </c>
      <c r="BQ1" s="6" t="s">
        <v>89</v>
      </c>
      <c r="BR1" s="6" t="s">
        <v>90</v>
      </c>
      <c r="BS1" s="6" t="s">
        <v>91</v>
      </c>
      <c r="BT1" s="6" t="s">
        <v>126</v>
      </c>
      <c r="BU1" s="6" t="s">
        <v>127</v>
      </c>
      <c r="BV1" s="22" t="s">
        <v>128</v>
      </c>
      <c r="BW1" s="22" t="s">
        <v>129</v>
      </c>
      <c r="BX1" s="6" t="s">
        <v>130</v>
      </c>
      <c r="BY1" s="23" t="s">
        <v>216</v>
      </c>
      <c r="BZ1" s="22" t="s">
        <v>217</v>
      </c>
      <c r="CA1" s="6" t="s">
        <v>218</v>
      </c>
      <c r="CB1" s="6" t="s">
        <v>219</v>
      </c>
      <c r="CC1" s="6" t="s">
        <v>220</v>
      </c>
      <c r="CD1" s="6" t="s">
        <v>221</v>
      </c>
      <c r="CE1" s="6" t="s">
        <v>222</v>
      </c>
      <c r="CF1" s="6" t="s">
        <v>223</v>
      </c>
      <c r="CG1" s="6" t="s">
        <v>224</v>
      </c>
      <c r="CH1" s="6" t="s">
        <v>225</v>
      </c>
      <c r="CI1" s="6" t="s">
        <v>226</v>
      </c>
      <c r="CJ1" s="22" t="s">
        <v>227</v>
      </c>
      <c r="CK1" s="22" t="s">
        <v>228</v>
      </c>
      <c r="CL1" s="6" t="s">
        <v>229</v>
      </c>
      <c r="CM1" s="22" t="s">
        <v>0</v>
      </c>
      <c r="CN1" s="22" t="s">
        <v>1</v>
      </c>
      <c r="CO1" s="22" t="s">
        <v>2</v>
      </c>
    </row>
    <row r="2" spans="1:93" x14ac:dyDescent="0.35">
      <c r="A2" s="23">
        <v>1</v>
      </c>
      <c r="B2" s="23" t="s">
        <v>3</v>
      </c>
      <c r="C2" s="23" t="s">
        <v>203</v>
      </c>
      <c r="D2" s="22">
        <v>29</v>
      </c>
      <c r="E2" s="6">
        <v>547.5</v>
      </c>
      <c r="F2" s="6">
        <v>0</v>
      </c>
      <c r="G2" s="27" t="s">
        <v>164</v>
      </c>
      <c r="H2" s="27">
        <v>3.4</v>
      </c>
      <c r="I2" s="12">
        <v>9.5</v>
      </c>
      <c r="J2" s="12">
        <v>9.5</v>
      </c>
      <c r="K2" s="12">
        <v>9.5</v>
      </c>
      <c r="L2" s="12">
        <v>9.5</v>
      </c>
      <c r="M2" s="12">
        <v>9.5</v>
      </c>
      <c r="N2" s="12">
        <v>9.5</v>
      </c>
      <c r="O2" s="12">
        <v>9.5</v>
      </c>
      <c r="P2" s="12">
        <v>96.9</v>
      </c>
      <c r="Q2" s="11">
        <v>96.9</v>
      </c>
      <c r="R2" s="28">
        <v>1</v>
      </c>
      <c r="S2" s="29">
        <v>1</v>
      </c>
      <c r="T2" s="6">
        <v>0</v>
      </c>
      <c r="U2" s="27" t="s">
        <v>137</v>
      </c>
      <c r="V2" s="27">
        <v>3.2</v>
      </c>
      <c r="W2" s="12">
        <v>9</v>
      </c>
      <c r="X2" s="12">
        <v>9</v>
      </c>
      <c r="Y2" s="12">
        <v>9</v>
      </c>
      <c r="Z2" s="12">
        <v>9</v>
      </c>
      <c r="AA2" s="12">
        <v>8.5</v>
      </c>
      <c r="AB2" s="12">
        <v>9</v>
      </c>
      <c r="AC2" s="12">
        <v>8.5</v>
      </c>
      <c r="AD2" s="12">
        <v>86.4</v>
      </c>
      <c r="AE2" s="11">
        <v>183.3</v>
      </c>
      <c r="AF2" s="28">
        <f>4</f>
        <v>4</v>
      </c>
      <c r="AG2" s="29">
        <v>2</v>
      </c>
      <c r="AH2" s="12">
        <v>0.1</v>
      </c>
      <c r="AI2" s="27" t="s">
        <v>234</v>
      </c>
      <c r="AJ2" s="27">
        <v>3.6</v>
      </c>
      <c r="AK2" s="12">
        <v>8.5</v>
      </c>
      <c r="AL2" s="12">
        <v>9</v>
      </c>
      <c r="AM2" s="12">
        <v>9</v>
      </c>
      <c r="AN2" s="12">
        <v>9</v>
      </c>
      <c r="AO2" s="12">
        <v>8</v>
      </c>
      <c r="AP2" s="12">
        <v>9</v>
      </c>
      <c r="AQ2" s="12">
        <v>9</v>
      </c>
      <c r="AR2" s="12">
        <v>97.2</v>
      </c>
      <c r="AS2" s="11">
        <v>280.5</v>
      </c>
      <c r="AT2" s="28">
        <v>1</v>
      </c>
      <c r="AU2" s="29">
        <v>1</v>
      </c>
      <c r="AV2" s="6">
        <v>0</v>
      </c>
      <c r="AW2" s="27" t="s">
        <v>235</v>
      </c>
      <c r="AX2" s="27">
        <v>3.6</v>
      </c>
      <c r="AY2" s="12">
        <v>8</v>
      </c>
      <c r="AZ2" s="12">
        <v>8.5</v>
      </c>
      <c r="BA2" s="12">
        <v>8.5</v>
      </c>
      <c r="BB2" s="12">
        <v>8.5</v>
      </c>
      <c r="BC2" s="12">
        <v>8</v>
      </c>
      <c r="BD2" s="12">
        <v>9</v>
      </c>
      <c r="BE2" s="12">
        <v>8.5</v>
      </c>
      <c r="BF2" s="12">
        <v>91.8</v>
      </c>
      <c r="BG2" s="11">
        <v>372.3</v>
      </c>
      <c r="BH2" s="28">
        <f>1</f>
        <v>1</v>
      </c>
      <c r="BI2" s="29">
        <v>1</v>
      </c>
      <c r="BJ2" s="6">
        <v>0</v>
      </c>
      <c r="BK2" s="27" t="s">
        <v>174</v>
      </c>
      <c r="BL2" s="27">
        <v>3.7</v>
      </c>
      <c r="BM2" s="12">
        <v>8</v>
      </c>
      <c r="BN2" s="12">
        <v>8</v>
      </c>
      <c r="BO2" s="12">
        <v>8</v>
      </c>
      <c r="BP2" s="12">
        <v>9</v>
      </c>
      <c r="BQ2" s="12">
        <v>8</v>
      </c>
      <c r="BR2" s="12">
        <v>8.5</v>
      </c>
      <c r="BS2" s="12">
        <v>8</v>
      </c>
      <c r="BT2" s="12">
        <v>88.8</v>
      </c>
      <c r="BU2" s="11">
        <v>461.1</v>
      </c>
      <c r="BV2" s="28">
        <v>2</v>
      </c>
      <c r="BW2" s="29">
        <v>1</v>
      </c>
      <c r="BX2" s="6">
        <v>0</v>
      </c>
      <c r="BY2" s="27" t="s">
        <v>236</v>
      </c>
      <c r="BZ2" s="27">
        <v>3.6</v>
      </c>
      <c r="CA2" s="12">
        <v>8</v>
      </c>
      <c r="CB2" s="12">
        <v>8</v>
      </c>
      <c r="CC2" s="12">
        <v>8.5</v>
      </c>
      <c r="CD2" s="12">
        <v>8</v>
      </c>
      <c r="CE2" s="12">
        <v>8</v>
      </c>
      <c r="CF2" s="12">
        <v>8</v>
      </c>
      <c r="CG2" s="12">
        <v>8</v>
      </c>
      <c r="CH2" s="12">
        <v>86.4</v>
      </c>
      <c r="CI2" s="11">
        <v>547.5</v>
      </c>
      <c r="CJ2" s="28">
        <f>4</f>
        <v>4</v>
      </c>
      <c r="CK2" s="29">
        <v>1</v>
      </c>
      <c r="CL2" s="6">
        <v>0</v>
      </c>
      <c r="CM2" s="22">
        <v>2024</v>
      </c>
      <c r="CN2" s="22" t="s">
        <v>175</v>
      </c>
      <c r="CO2" s="22" t="s">
        <v>141</v>
      </c>
    </row>
    <row r="3" spans="1:93" x14ac:dyDescent="0.35">
      <c r="A3" s="22">
        <v>2</v>
      </c>
      <c r="B3" s="22" t="s">
        <v>151</v>
      </c>
      <c r="C3" s="22" t="s">
        <v>237</v>
      </c>
      <c r="D3" s="22">
        <v>17</v>
      </c>
      <c r="E3" s="6">
        <v>507.65</v>
      </c>
      <c r="F3" s="6">
        <v>39.85</v>
      </c>
      <c r="G3" s="27" t="s">
        <v>137</v>
      </c>
      <c r="H3" s="27">
        <v>3.2</v>
      </c>
      <c r="I3" s="12">
        <v>9</v>
      </c>
      <c r="J3" s="12">
        <v>9</v>
      </c>
      <c r="K3" s="12">
        <v>9</v>
      </c>
      <c r="L3" s="12">
        <v>9</v>
      </c>
      <c r="M3" s="12">
        <v>9.5</v>
      </c>
      <c r="N3" s="12">
        <v>9.5</v>
      </c>
      <c r="O3" s="12">
        <v>9.5</v>
      </c>
      <c r="P3" s="12">
        <v>88</v>
      </c>
      <c r="Q3" s="11">
        <v>88</v>
      </c>
      <c r="R3" s="28">
        <v>2</v>
      </c>
      <c r="S3" s="29">
        <v>2</v>
      </c>
      <c r="T3" s="12">
        <v>8.9</v>
      </c>
      <c r="U3" s="27" t="s">
        <v>234</v>
      </c>
      <c r="V3" s="27">
        <v>3.6</v>
      </c>
      <c r="W3" s="12">
        <v>8.5</v>
      </c>
      <c r="X3" s="12">
        <v>9</v>
      </c>
      <c r="Y3" s="12">
        <v>8.5</v>
      </c>
      <c r="Z3" s="12">
        <v>8.5</v>
      </c>
      <c r="AA3" s="12">
        <v>9</v>
      </c>
      <c r="AB3" s="12">
        <v>9</v>
      </c>
      <c r="AC3" s="12">
        <v>9.5</v>
      </c>
      <c r="AD3" s="12">
        <v>95.4</v>
      </c>
      <c r="AE3" s="11">
        <v>183.4</v>
      </c>
      <c r="AF3" s="28">
        <v>1</v>
      </c>
      <c r="AG3" s="29">
        <v>1</v>
      </c>
      <c r="AH3" s="6">
        <v>0</v>
      </c>
      <c r="AI3" s="27" t="s">
        <v>174</v>
      </c>
      <c r="AJ3" s="27">
        <v>3.7</v>
      </c>
      <c r="AK3" s="12">
        <v>9</v>
      </c>
      <c r="AL3" s="12">
        <v>9</v>
      </c>
      <c r="AM3" s="12">
        <v>9</v>
      </c>
      <c r="AN3" s="12">
        <v>8.5</v>
      </c>
      <c r="AO3" s="12">
        <v>8</v>
      </c>
      <c r="AP3" s="12">
        <v>7.5</v>
      </c>
      <c r="AQ3" s="12">
        <v>8</v>
      </c>
      <c r="AR3" s="12">
        <v>94.35</v>
      </c>
      <c r="AS3" s="11">
        <v>277.75</v>
      </c>
      <c r="AT3" s="28">
        <v>2</v>
      </c>
      <c r="AU3" s="29">
        <v>2</v>
      </c>
      <c r="AV3" s="12">
        <v>2.75</v>
      </c>
      <c r="AW3" s="27" t="s">
        <v>235</v>
      </c>
      <c r="AX3" s="27">
        <v>3.6</v>
      </c>
      <c r="AY3" s="12">
        <v>8.5</v>
      </c>
      <c r="AZ3" s="12">
        <v>8.5</v>
      </c>
      <c r="BA3" s="12">
        <v>8.5</v>
      </c>
      <c r="BB3" s="12">
        <v>8</v>
      </c>
      <c r="BC3" s="12">
        <v>8.5</v>
      </c>
      <c r="BD3" s="12">
        <v>9</v>
      </c>
      <c r="BE3" s="12">
        <v>8.5</v>
      </c>
      <c r="BF3" s="12">
        <v>91.8</v>
      </c>
      <c r="BG3" s="11">
        <v>369.55</v>
      </c>
      <c r="BH3" s="28">
        <f>1</f>
        <v>1</v>
      </c>
      <c r="BI3" s="29">
        <v>2</v>
      </c>
      <c r="BJ3" s="12">
        <v>2.75</v>
      </c>
      <c r="BK3" s="27" t="s">
        <v>164</v>
      </c>
      <c r="BL3" s="27">
        <v>3.4</v>
      </c>
      <c r="BM3" s="12">
        <v>4</v>
      </c>
      <c r="BN3" s="12">
        <v>4</v>
      </c>
      <c r="BO3" s="12">
        <v>3.5</v>
      </c>
      <c r="BP3" s="12">
        <v>4</v>
      </c>
      <c r="BQ3" s="12">
        <v>4</v>
      </c>
      <c r="BR3" s="12">
        <v>3.5</v>
      </c>
      <c r="BS3" s="12">
        <v>3.5</v>
      </c>
      <c r="BT3" s="12">
        <v>39.1</v>
      </c>
      <c r="BU3" s="11">
        <v>408.65</v>
      </c>
      <c r="BV3" s="28">
        <v>12</v>
      </c>
      <c r="BW3" s="29">
        <v>3</v>
      </c>
      <c r="BX3" s="12">
        <v>52.45</v>
      </c>
      <c r="BY3" s="27" t="s">
        <v>236</v>
      </c>
      <c r="BZ3" s="27">
        <v>3.6</v>
      </c>
      <c r="CA3" s="12">
        <v>9.5</v>
      </c>
      <c r="CB3" s="12">
        <v>9</v>
      </c>
      <c r="CC3" s="12">
        <v>9</v>
      </c>
      <c r="CD3" s="12">
        <v>9</v>
      </c>
      <c r="CE3" s="12">
        <v>9</v>
      </c>
      <c r="CF3" s="12">
        <v>9.5</v>
      </c>
      <c r="CG3" s="12">
        <v>9.5</v>
      </c>
      <c r="CH3" s="12">
        <v>99</v>
      </c>
      <c r="CI3" s="11">
        <v>507.65</v>
      </c>
      <c r="CJ3" s="28">
        <v>1</v>
      </c>
      <c r="CK3" s="29">
        <v>2</v>
      </c>
      <c r="CL3" s="12">
        <v>39.85</v>
      </c>
      <c r="CM3" s="22">
        <v>2024</v>
      </c>
      <c r="CN3" s="22" t="s">
        <v>175</v>
      </c>
      <c r="CO3" s="22" t="s">
        <v>141</v>
      </c>
    </row>
    <row r="4" spans="1:93" x14ac:dyDescent="0.35">
      <c r="A4" s="22">
        <v>3</v>
      </c>
      <c r="B4" s="22" t="s">
        <v>17</v>
      </c>
      <c r="C4" s="22" t="s">
        <v>238</v>
      </c>
      <c r="D4" s="22">
        <v>24</v>
      </c>
      <c r="E4" s="6">
        <v>497.35</v>
      </c>
      <c r="F4" s="6">
        <v>50.15</v>
      </c>
      <c r="G4" s="27" t="s">
        <v>137</v>
      </c>
      <c r="H4" s="27">
        <v>3.2</v>
      </c>
      <c r="I4" s="12">
        <v>8</v>
      </c>
      <c r="J4" s="12">
        <v>8</v>
      </c>
      <c r="K4" s="12">
        <v>8</v>
      </c>
      <c r="L4" s="12">
        <v>8</v>
      </c>
      <c r="M4" s="12">
        <v>8.5</v>
      </c>
      <c r="N4" s="12">
        <v>8.5</v>
      </c>
      <c r="O4" s="12">
        <v>9</v>
      </c>
      <c r="P4" s="12">
        <v>78.400000000000006</v>
      </c>
      <c r="Q4" s="11">
        <v>78.400000000000006</v>
      </c>
      <c r="R4" s="28">
        <v>6</v>
      </c>
      <c r="S4" s="29">
        <v>6</v>
      </c>
      <c r="T4" s="12">
        <v>18.5</v>
      </c>
      <c r="U4" s="27" t="s">
        <v>235</v>
      </c>
      <c r="V4" s="27">
        <v>3.6</v>
      </c>
      <c r="W4" s="12">
        <v>8</v>
      </c>
      <c r="X4" s="12">
        <v>7.5</v>
      </c>
      <c r="Y4" s="12">
        <v>7.5</v>
      </c>
      <c r="Z4" s="12">
        <v>8</v>
      </c>
      <c r="AA4" s="12">
        <v>8</v>
      </c>
      <c r="AB4" s="12">
        <v>8.5</v>
      </c>
      <c r="AC4" s="12">
        <v>8</v>
      </c>
      <c r="AD4" s="12">
        <v>86.4</v>
      </c>
      <c r="AE4" s="11">
        <v>164.8</v>
      </c>
      <c r="AF4" s="28">
        <f>4</f>
        <v>4</v>
      </c>
      <c r="AG4" s="29">
        <v>6</v>
      </c>
      <c r="AH4" s="12">
        <v>18.600000000000001</v>
      </c>
      <c r="AI4" s="27" t="s">
        <v>164</v>
      </c>
      <c r="AJ4" s="27">
        <v>3.4</v>
      </c>
      <c r="AK4" s="12">
        <v>8</v>
      </c>
      <c r="AL4" s="12">
        <v>7.5</v>
      </c>
      <c r="AM4" s="12">
        <v>8</v>
      </c>
      <c r="AN4" s="12">
        <v>8.5</v>
      </c>
      <c r="AO4" s="12">
        <v>8.5</v>
      </c>
      <c r="AP4" s="12">
        <v>8</v>
      </c>
      <c r="AQ4" s="12">
        <v>8</v>
      </c>
      <c r="AR4" s="12">
        <v>81.599999999999994</v>
      </c>
      <c r="AS4" s="11">
        <v>246.4</v>
      </c>
      <c r="AT4" s="28">
        <v>4</v>
      </c>
      <c r="AU4" s="29">
        <v>4</v>
      </c>
      <c r="AV4" s="12">
        <v>34.1</v>
      </c>
      <c r="AW4" s="27" t="s">
        <v>234</v>
      </c>
      <c r="AX4" s="27">
        <v>3.6</v>
      </c>
      <c r="AY4" s="12">
        <v>5.5</v>
      </c>
      <c r="AZ4" s="12">
        <v>5.5</v>
      </c>
      <c r="BA4" s="12">
        <v>6</v>
      </c>
      <c r="BB4" s="12">
        <v>6</v>
      </c>
      <c r="BC4" s="12">
        <v>6</v>
      </c>
      <c r="BD4" s="12">
        <v>6</v>
      </c>
      <c r="BE4" s="12">
        <v>5.5</v>
      </c>
      <c r="BF4" s="12">
        <v>63</v>
      </c>
      <c r="BG4" s="11">
        <v>309.39999999999998</v>
      </c>
      <c r="BH4" s="28">
        <v>9</v>
      </c>
      <c r="BI4" s="29">
        <v>5</v>
      </c>
      <c r="BJ4" s="12">
        <v>62.9</v>
      </c>
      <c r="BK4" s="27" t="s">
        <v>236</v>
      </c>
      <c r="BL4" s="27">
        <v>3.6</v>
      </c>
      <c r="BM4" s="12">
        <v>8</v>
      </c>
      <c r="BN4" s="12">
        <v>8</v>
      </c>
      <c r="BO4" s="12">
        <v>8.5</v>
      </c>
      <c r="BP4" s="12">
        <v>8.5</v>
      </c>
      <c r="BQ4" s="12">
        <v>9</v>
      </c>
      <c r="BR4" s="12">
        <v>9</v>
      </c>
      <c r="BS4" s="12">
        <v>9</v>
      </c>
      <c r="BT4" s="12">
        <v>93.6</v>
      </c>
      <c r="BU4" s="11">
        <v>403</v>
      </c>
      <c r="BV4" s="28">
        <v>1</v>
      </c>
      <c r="BW4" s="29">
        <v>4</v>
      </c>
      <c r="BX4" s="12">
        <v>58.1</v>
      </c>
      <c r="BY4" s="27" t="s">
        <v>174</v>
      </c>
      <c r="BZ4" s="27">
        <v>3.7</v>
      </c>
      <c r="CA4" s="12">
        <v>8.5</v>
      </c>
      <c r="CB4" s="12">
        <v>8.5</v>
      </c>
      <c r="CC4" s="12">
        <v>9</v>
      </c>
      <c r="CD4" s="12">
        <v>8.5</v>
      </c>
      <c r="CE4" s="12">
        <v>8.5</v>
      </c>
      <c r="CF4" s="12">
        <v>9</v>
      </c>
      <c r="CG4" s="12">
        <v>8.5</v>
      </c>
      <c r="CH4" s="12">
        <v>94.35</v>
      </c>
      <c r="CI4" s="11">
        <v>497.35</v>
      </c>
      <c r="CJ4" s="28">
        <v>2</v>
      </c>
      <c r="CK4" s="29">
        <v>3</v>
      </c>
      <c r="CL4" s="12">
        <v>50.15</v>
      </c>
      <c r="CM4" s="22">
        <v>2024</v>
      </c>
      <c r="CN4" s="22" t="s">
        <v>175</v>
      </c>
      <c r="CO4" s="22" t="s">
        <v>141</v>
      </c>
    </row>
    <row r="5" spans="1:93" x14ac:dyDescent="0.35">
      <c r="A5" s="22">
        <v>4</v>
      </c>
      <c r="B5" s="22" t="s">
        <v>12</v>
      </c>
      <c r="C5" s="22" t="s">
        <v>239</v>
      </c>
      <c r="D5" s="22">
        <v>23</v>
      </c>
      <c r="E5" s="6">
        <v>481</v>
      </c>
      <c r="F5" s="6">
        <v>66.5</v>
      </c>
      <c r="G5" s="27" t="s">
        <v>164</v>
      </c>
      <c r="H5" s="27">
        <v>3.4</v>
      </c>
      <c r="I5" s="12">
        <v>8</v>
      </c>
      <c r="J5" s="12">
        <v>8.5</v>
      </c>
      <c r="K5" s="12">
        <v>8.5</v>
      </c>
      <c r="L5" s="12">
        <v>8</v>
      </c>
      <c r="M5" s="12">
        <v>8.5</v>
      </c>
      <c r="N5" s="12">
        <v>8.5</v>
      </c>
      <c r="O5" s="12">
        <v>8.5</v>
      </c>
      <c r="P5" s="12">
        <v>86.7</v>
      </c>
      <c r="Q5" s="11">
        <v>86.7</v>
      </c>
      <c r="R5" s="28">
        <v>3</v>
      </c>
      <c r="S5" s="29">
        <v>3</v>
      </c>
      <c r="T5" s="12">
        <v>10.199999999999999</v>
      </c>
      <c r="U5" s="27" t="s">
        <v>235</v>
      </c>
      <c r="V5" s="27">
        <v>3.6</v>
      </c>
      <c r="W5" s="12">
        <v>7.5</v>
      </c>
      <c r="X5" s="12">
        <v>7.5</v>
      </c>
      <c r="Y5" s="12">
        <v>7.5</v>
      </c>
      <c r="Z5" s="12">
        <v>7.5</v>
      </c>
      <c r="AA5" s="12">
        <v>7.5</v>
      </c>
      <c r="AB5" s="12">
        <v>7.5</v>
      </c>
      <c r="AC5" s="12">
        <v>7.5</v>
      </c>
      <c r="AD5" s="12">
        <v>81</v>
      </c>
      <c r="AE5" s="11">
        <v>167.7</v>
      </c>
      <c r="AF5" s="28">
        <v>7</v>
      </c>
      <c r="AG5" s="29">
        <v>4</v>
      </c>
      <c r="AH5" s="12">
        <v>15.7</v>
      </c>
      <c r="AI5" s="27" t="s">
        <v>137</v>
      </c>
      <c r="AJ5" s="27">
        <v>3.2</v>
      </c>
      <c r="AK5" s="12">
        <v>8</v>
      </c>
      <c r="AL5" s="12">
        <v>8</v>
      </c>
      <c r="AM5" s="12">
        <v>8.5</v>
      </c>
      <c r="AN5" s="12">
        <v>8</v>
      </c>
      <c r="AO5" s="12">
        <v>8</v>
      </c>
      <c r="AP5" s="12">
        <v>8</v>
      </c>
      <c r="AQ5" s="12">
        <v>8</v>
      </c>
      <c r="AR5" s="12">
        <v>76.8</v>
      </c>
      <c r="AS5" s="11">
        <v>244.5</v>
      </c>
      <c r="AT5" s="28">
        <v>7</v>
      </c>
      <c r="AU5" s="29">
        <v>6</v>
      </c>
      <c r="AV5" s="12">
        <v>36</v>
      </c>
      <c r="AW5" s="27" t="s">
        <v>234</v>
      </c>
      <c r="AX5" s="27">
        <v>3.6</v>
      </c>
      <c r="AY5" s="12">
        <v>5</v>
      </c>
      <c r="AZ5" s="12">
        <v>6</v>
      </c>
      <c r="BA5" s="12">
        <v>5.5</v>
      </c>
      <c r="BB5" s="12">
        <v>6.5</v>
      </c>
      <c r="BC5" s="12">
        <v>5.5</v>
      </c>
      <c r="BD5" s="12">
        <v>5.5</v>
      </c>
      <c r="BE5" s="12">
        <v>6</v>
      </c>
      <c r="BF5" s="12">
        <v>61.2</v>
      </c>
      <c r="BG5" s="11">
        <v>305.7</v>
      </c>
      <c r="BH5" s="28">
        <v>10</v>
      </c>
      <c r="BI5" s="29">
        <v>6</v>
      </c>
      <c r="BJ5" s="12">
        <v>66.599999999999994</v>
      </c>
      <c r="BK5" s="27" t="s">
        <v>236</v>
      </c>
      <c r="BL5" s="27">
        <v>3.6</v>
      </c>
      <c r="BM5" s="12">
        <v>7.5</v>
      </c>
      <c r="BN5" s="12">
        <v>7</v>
      </c>
      <c r="BO5" s="12">
        <v>7.5</v>
      </c>
      <c r="BP5" s="12">
        <v>8</v>
      </c>
      <c r="BQ5" s="12">
        <v>7.5</v>
      </c>
      <c r="BR5" s="12">
        <v>8</v>
      </c>
      <c r="BS5" s="12">
        <v>8</v>
      </c>
      <c r="BT5" s="12">
        <v>82.8</v>
      </c>
      <c r="BU5" s="11">
        <v>388.5</v>
      </c>
      <c r="BV5" s="28">
        <v>5</v>
      </c>
      <c r="BW5" s="29">
        <v>5</v>
      </c>
      <c r="BX5" s="12">
        <v>72.599999999999994</v>
      </c>
      <c r="BY5" s="27" t="s">
        <v>174</v>
      </c>
      <c r="BZ5" s="27">
        <v>3.7</v>
      </c>
      <c r="CA5" s="12">
        <v>8.5</v>
      </c>
      <c r="CB5" s="12">
        <v>8</v>
      </c>
      <c r="CC5" s="12">
        <v>7.5</v>
      </c>
      <c r="CD5" s="12">
        <v>8.5</v>
      </c>
      <c r="CE5" s="12">
        <v>7.5</v>
      </c>
      <c r="CF5" s="12">
        <v>8.5</v>
      </c>
      <c r="CG5" s="12">
        <v>8.5</v>
      </c>
      <c r="CH5" s="12">
        <v>92.5</v>
      </c>
      <c r="CI5" s="11">
        <v>481</v>
      </c>
      <c r="CJ5" s="28">
        <v>3</v>
      </c>
      <c r="CK5" s="29">
        <v>4</v>
      </c>
      <c r="CL5" s="12">
        <v>66.5</v>
      </c>
      <c r="CM5" s="22">
        <v>2024</v>
      </c>
      <c r="CN5" s="22" t="s">
        <v>175</v>
      </c>
      <c r="CO5" s="22" t="s">
        <v>141</v>
      </c>
    </row>
    <row r="6" spans="1:93" x14ac:dyDescent="0.35">
      <c r="A6" s="22">
        <v>5</v>
      </c>
      <c r="B6" s="22" t="s">
        <v>18</v>
      </c>
      <c r="C6" s="22" t="s">
        <v>267</v>
      </c>
      <c r="D6" s="22">
        <v>22</v>
      </c>
      <c r="E6" s="6">
        <v>478.4</v>
      </c>
      <c r="F6" s="6">
        <v>69.099999999999994</v>
      </c>
      <c r="G6" s="27" t="s">
        <v>173</v>
      </c>
      <c r="H6" s="27">
        <v>3.5</v>
      </c>
      <c r="I6" s="12">
        <v>8</v>
      </c>
      <c r="J6" s="12">
        <v>8</v>
      </c>
      <c r="K6" s="12">
        <v>7.5</v>
      </c>
      <c r="L6" s="12">
        <v>8</v>
      </c>
      <c r="M6" s="12">
        <v>8</v>
      </c>
      <c r="N6" s="12">
        <v>8</v>
      </c>
      <c r="O6" s="12">
        <v>8</v>
      </c>
      <c r="P6" s="12">
        <v>84</v>
      </c>
      <c r="Q6" s="11">
        <v>84</v>
      </c>
      <c r="R6" s="28">
        <v>4</v>
      </c>
      <c r="S6" s="29">
        <v>4</v>
      </c>
      <c r="T6" s="12">
        <v>12.9</v>
      </c>
      <c r="U6" s="27" t="s">
        <v>164</v>
      </c>
      <c r="V6" s="27">
        <v>3.4</v>
      </c>
      <c r="W6" s="12">
        <v>8.5</v>
      </c>
      <c r="X6" s="12">
        <v>8.5</v>
      </c>
      <c r="Y6" s="12">
        <v>8.5</v>
      </c>
      <c r="Z6" s="12">
        <v>9</v>
      </c>
      <c r="AA6" s="12">
        <v>9</v>
      </c>
      <c r="AB6" s="12">
        <v>9</v>
      </c>
      <c r="AC6" s="12">
        <v>8.5</v>
      </c>
      <c r="AD6" s="12">
        <v>88.4</v>
      </c>
      <c r="AE6" s="11">
        <v>172.4</v>
      </c>
      <c r="AF6" s="28">
        <v>3</v>
      </c>
      <c r="AG6" s="29">
        <v>3</v>
      </c>
      <c r="AH6" s="12">
        <v>11</v>
      </c>
      <c r="AI6" s="27" t="s">
        <v>240</v>
      </c>
      <c r="AJ6" s="27">
        <v>3.5</v>
      </c>
      <c r="AK6" s="12">
        <v>7</v>
      </c>
      <c r="AL6" s="12">
        <v>7</v>
      </c>
      <c r="AM6" s="12">
        <v>7</v>
      </c>
      <c r="AN6" s="12">
        <v>7</v>
      </c>
      <c r="AO6" s="12">
        <v>5.5</v>
      </c>
      <c r="AP6" s="12">
        <v>7</v>
      </c>
      <c r="AQ6" s="12">
        <v>7</v>
      </c>
      <c r="AR6" s="12">
        <v>73.5</v>
      </c>
      <c r="AS6" s="11">
        <v>245.9</v>
      </c>
      <c r="AT6" s="28">
        <v>8</v>
      </c>
      <c r="AU6" s="29">
        <v>5</v>
      </c>
      <c r="AV6" s="12">
        <v>34.6</v>
      </c>
      <c r="AW6" s="27" t="s">
        <v>236</v>
      </c>
      <c r="AX6" s="27">
        <v>3.6</v>
      </c>
      <c r="AY6" s="12">
        <v>8</v>
      </c>
      <c r="AZ6" s="12">
        <v>7.5</v>
      </c>
      <c r="BA6" s="12">
        <v>7.5</v>
      </c>
      <c r="BB6" s="12">
        <v>8</v>
      </c>
      <c r="BC6" s="12">
        <v>7</v>
      </c>
      <c r="BD6" s="12">
        <v>8.5</v>
      </c>
      <c r="BE6" s="12">
        <v>8</v>
      </c>
      <c r="BF6" s="12">
        <v>84.6</v>
      </c>
      <c r="BG6" s="11">
        <v>330.5</v>
      </c>
      <c r="BH6" s="28">
        <v>3</v>
      </c>
      <c r="BI6" s="29">
        <v>3</v>
      </c>
      <c r="BJ6" s="12">
        <v>41.8</v>
      </c>
      <c r="BK6" s="27" t="s">
        <v>234</v>
      </c>
      <c r="BL6" s="27">
        <v>3.6</v>
      </c>
      <c r="BM6" s="12">
        <v>8.5</v>
      </c>
      <c r="BN6" s="12">
        <v>8</v>
      </c>
      <c r="BO6" s="12">
        <v>8</v>
      </c>
      <c r="BP6" s="12">
        <v>8</v>
      </c>
      <c r="BQ6" s="12">
        <v>8</v>
      </c>
      <c r="BR6" s="12">
        <v>8.5</v>
      </c>
      <c r="BS6" s="12">
        <v>8</v>
      </c>
      <c r="BT6" s="12">
        <v>86.4</v>
      </c>
      <c r="BU6" s="11">
        <v>416.9</v>
      </c>
      <c r="BV6" s="28">
        <v>3</v>
      </c>
      <c r="BW6" s="29">
        <v>2</v>
      </c>
      <c r="BX6" s="12">
        <v>44.2</v>
      </c>
      <c r="BY6" s="27" t="s">
        <v>241</v>
      </c>
      <c r="BZ6" s="27">
        <v>4.0999999999999996</v>
      </c>
      <c r="CA6" s="12">
        <v>5.5</v>
      </c>
      <c r="CB6" s="12">
        <v>5</v>
      </c>
      <c r="CC6" s="12">
        <v>4.5</v>
      </c>
      <c r="CD6" s="12">
        <v>5</v>
      </c>
      <c r="CE6" s="12">
        <v>5.5</v>
      </c>
      <c r="CF6" s="12">
        <v>5</v>
      </c>
      <c r="CG6" s="12">
        <v>4.5</v>
      </c>
      <c r="CH6" s="12">
        <v>61.5</v>
      </c>
      <c r="CI6" s="11">
        <v>478.4</v>
      </c>
      <c r="CJ6" s="28">
        <v>11</v>
      </c>
      <c r="CK6" s="29">
        <v>5</v>
      </c>
      <c r="CL6" s="12">
        <v>69.099999999999994</v>
      </c>
      <c r="CM6" s="22">
        <v>2024</v>
      </c>
      <c r="CN6" s="22" t="s">
        <v>175</v>
      </c>
      <c r="CO6" s="22" t="s">
        <v>141</v>
      </c>
    </row>
    <row r="7" spans="1:93" x14ac:dyDescent="0.35">
      <c r="A7" s="22">
        <v>6</v>
      </c>
      <c r="B7" s="22" t="s">
        <v>20</v>
      </c>
      <c r="C7" s="22" t="s">
        <v>242</v>
      </c>
      <c r="D7" s="22">
        <v>28</v>
      </c>
      <c r="E7" s="6">
        <v>446.2</v>
      </c>
      <c r="F7" s="6">
        <v>101.3</v>
      </c>
      <c r="G7" s="27" t="s">
        <v>137</v>
      </c>
      <c r="H7" s="27">
        <v>3.2</v>
      </c>
      <c r="I7" s="12">
        <v>7.5</v>
      </c>
      <c r="J7" s="12">
        <v>7.5</v>
      </c>
      <c r="K7" s="12">
        <v>7.5</v>
      </c>
      <c r="L7" s="12">
        <v>7</v>
      </c>
      <c r="M7" s="12">
        <v>7</v>
      </c>
      <c r="N7" s="12">
        <v>7.5</v>
      </c>
      <c r="O7" s="12">
        <v>7</v>
      </c>
      <c r="P7" s="12">
        <v>70.400000000000006</v>
      </c>
      <c r="Q7" s="11">
        <v>70.400000000000006</v>
      </c>
      <c r="R7" s="28">
        <f>9</f>
        <v>9</v>
      </c>
      <c r="S7" s="29">
        <f>9</f>
        <v>9</v>
      </c>
      <c r="T7" s="12">
        <v>26.5</v>
      </c>
      <c r="U7" s="27" t="s">
        <v>143</v>
      </c>
      <c r="V7" s="27">
        <v>3.3</v>
      </c>
      <c r="W7" s="12">
        <v>7.5</v>
      </c>
      <c r="X7" s="12">
        <v>7</v>
      </c>
      <c r="Y7" s="12">
        <v>6.5</v>
      </c>
      <c r="Z7" s="12">
        <v>7</v>
      </c>
      <c r="AA7" s="12">
        <v>7</v>
      </c>
      <c r="AB7" s="12">
        <v>7.5</v>
      </c>
      <c r="AC7" s="12">
        <v>7</v>
      </c>
      <c r="AD7" s="12">
        <v>69.3</v>
      </c>
      <c r="AE7" s="11">
        <v>139.69999999999999</v>
      </c>
      <c r="AF7" s="28">
        <v>8</v>
      </c>
      <c r="AG7" s="29">
        <v>9</v>
      </c>
      <c r="AH7" s="12">
        <v>43.7</v>
      </c>
      <c r="AI7" s="27" t="s">
        <v>139</v>
      </c>
      <c r="AJ7" s="27">
        <v>3.3</v>
      </c>
      <c r="AK7" s="12">
        <v>8</v>
      </c>
      <c r="AL7" s="12">
        <v>8</v>
      </c>
      <c r="AM7" s="12">
        <v>8</v>
      </c>
      <c r="AN7" s="12">
        <v>8</v>
      </c>
      <c r="AO7" s="12">
        <v>8</v>
      </c>
      <c r="AP7" s="12">
        <v>8.5</v>
      </c>
      <c r="AQ7" s="12">
        <v>8</v>
      </c>
      <c r="AR7" s="12">
        <v>79.2</v>
      </c>
      <c r="AS7" s="11">
        <v>218.9</v>
      </c>
      <c r="AT7" s="28">
        <v>6</v>
      </c>
      <c r="AU7" s="29">
        <v>8</v>
      </c>
      <c r="AV7" s="12">
        <v>61.6</v>
      </c>
      <c r="AW7" s="27" t="s">
        <v>7</v>
      </c>
      <c r="AX7" s="27">
        <v>3</v>
      </c>
      <c r="AY7" s="12">
        <v>7.5</v>
      </c>
      <c r="AZ7" s="12">
        <v>7.5</v>
      </c>
      <c r="BA7" s="12">
        <v>7.5</v>
      </c>
      <c r="BB7" s="12">
        <v>7.5</v>
      </c>
      <c r="BC7" s="12">
        <v>7</v>
      </c>
      <c r="BD7" s="12">
        <v>7.5</v>
      </c>
      <c r="BE7" s="12">
        <v>7.5</v>
      </c>
      <c r="BF7" s="12">
        <v>67.5</v>
      </c>
      <c r="BG7" s="11">
        <v>286.39999999999998</v>
      </c>
      <c r="BH7" s="28">
        <v>8</v>
      </c>
      <c r="BI7" s="29">
        <v>7</v>
      </c>
      <c r="BJ7" s="12">
        <v>85.9</v>
      </c>
      <c r="BK7" s="27" t="s">
        <v>164</v>
      </c>
      <c r="BL7" s="27">
        <v>3.4</v>
      </c>
      <c r="BM7" s="12">
        <v>8.5</v>
      </c>
      <c r="BN7" s="12">
        <v>8.5</v>
      </c>
      <c r="BO7" s="12">
        <v>8</v>
      </c>
      <c r="BP7" s="12">
        <v>8</v>
      </c>
      <c r="BQ7" s="12">
        <v>8</v>
      </c>
      <c r="BR7" s="12">
        <v>8</v>
      </c>
      <c r="BS7" s="12">
        <v>8</v>
      </c>
      <c r="BT7" s="12">
        <v>81.599999999999994</v>
      </c>
      <c r="BU7" s="11">
        <v>368</v>
      </c>
      <c r="BV7" s="28">
        <v>6</v>
      </c>
      <c r="BW7" s="29">
        <v>7</v>
      </c>
      <c r="BX7" s="12">
        <v>93.1</v>
      </c>
      <c r="BY7" s="27" t="s">
        <v>176</v>
      </c>
      <c r="BZ7" s="27">
        <v>3.4</v>
      </c>
      <c r="CA7" s="12">
        <v>7.5</v>
      </c>
      <c r="CB7" s="12">
        <v>8</v>
      </c>
      <c r="CC7" s="12">
        <v>8</v>
      </c>
      <c r="CD7" s="12">
        <v>7.5</v>
      </c>
      <c r="CE7" s="12">
        <v>7.5</v>
      </c>
      <c r="CF7" s="12">
        <v>8</v>
      </c>
      <c r="CG7" s="12">
        <v>7.5</v>
      </c>
      <c r="CH7" s="12">
        <v>78.2</v>
      </c>
      <c r="CI7" s="11">
        <v>446.2</v>
      </c>
      <c r="CJ7" s="28">
        <v>8</v>
      </c>
      <c r="CK7" s="29">
        <v>6</v>
      </c>
      <c r="CL7" s="12">
        <v>101.3</v>
      </c>
      <c r="CM7" s="22">
        <v>2024</v>
      </c>
      <c r="CN7" s="22" t="s">
        <v>175</v>
      </c>
      <c r="CO7" s="22" t="s">
        <v>141</v>
      </c>
    </row>
    <row r="8" spans="1:93" x14ac:dyDescent="0.35">
      <c r="A8" s="22">
        <v>7</v>
      </c>
      <c r="B8" s="22" t="s">
        <v>40</v>
      </c>
      <c r="C8" s="22" t="s">
        <v>243</v>
      </c>
      <c r="D8" s="22">
        <v>22</v>
      </c>
      <c r="E8" s="6">
        <v>445.6</v>
      </c>
      <c r="F8" s="6">
        <v>101.9</v>
      </c>
      <c r="G8" s="27" t="s">
        <v>137</v>
      </c>
      <c r="H8" s="27">
        <v>3.2</v>
      </c>
      <c r="I8" s="12">
        <v>7.5</v>
      </c>
      <c r="J8" s="12">
        <v>8</v>
      </c>
      <c r="K8" s="12">
        <v>8</v>
      </c>
      <c r="L8" s="12">
        <v>8</v>
      </c>
      <c r="M8" s="12">
        <v>8</v>
      </c>
      <c r="N8" s="12">
        <v>8</v>
      </c>
      <c r="O8" s="12">
        <v>8</v>
      </c>
      <c r="P8" s="12">
        <v>76.8</v>
      </c>
      <c r="Q8" s="11">
        <v>76.8</v>
      </c>
      <c r="R8" s="28">
        <f>7</f>
        <v>7</v>
      </c>
      <c r="S8" s="29">
        <f>7</f>
        <v>7</v>
      </c>
      <c r="T8" s="12">
        <v>20.100000000000001</v>
      </c>
      <c r="U8" s="27" t="s">
        <v>174</v>
      </c>
      <c r="V8" s="27">
        <v>3.7</v>
      </c>
      <c r="W8" s="12">
        <v>8</v>
      </c>
      <c r="X8" s="12">
        <v>8</v>
      </c>
      <c r="Y8" s="12">
        <v>8</v>
      </c>
      <c r="Z8" s="12">
        <v>8</v>
      </c>
      <c r="AA8" s="12">
        <v>7</v>
      </c>
      <c r="AB8" s="12">
        <v>8</v>
      </c>
      <c r="AC8" s="12">
        <v>8</v>
      </c>
      <c r="AD8" s="12">
        <v>88.8</v>
      </c>
      <c r="AE8" s="11">
        <v>165.6</v>
      </c>
      <c r="AF8" s="28">
        <v>2</v>
      </c>
      <c r="AG8" s="29">
        <v>5</v>
      </c>
      <c r="AH8" s="12">
        <v>17.8</v>
      </c>
      <c r="AI8" s="27" t="s">
        <v>164</v>
      </c>
      <c r="AJ8" s="27">
        <v>3.4</v>
      </c>
      <c r="AK8" s="12">
        <v>8.5</v>
      </c>
      <c r="AL8" s="12">
        <v>8.5</v>
      </c>
      <c r="AM8" s="12">
        <v>9.5</v>
      </c>
      <c r="AN8" s="12">
        <v>8.5</v>
      </c>
      <c r="AO8" s="12">
        <v>9</v>
      </c>
      <c r="AP8" s="12">
        <v>9</v>
      </c>
      <c r="AQ8" s="12">
        <v>9</v>
      </c>
      <c r="AR8" s="12">
        <v>90.1</v>
      </c>
      <c r="AS8" s="11">
        <v>255.7</v>
      </c>
      <c r="AT8" s="28">
        <v>3</v>
      </c>
      <c r="AU8" s="29">
        <v>3</v>
      </c>
      <c r="AV8" s="12">
        <v>24.8</v>
      </c>
      <c r="AW8" s="27" t="s">
        <v>235</v>
      </c>
      <c r="AX8" s="27">
        <v>3.6</v>
      </c>
      <c r="AY8" s="12">
        <v>6.5</v>
      </c>
      <c r="AZ8" s="12">
        <v>6.5</v>
      </c>
      <c r="BA8" s="12">
        <v>7</v>
      </c>
      <c r="BB8" s="12">
        <v>7</v>
      </c>
      <c r="BC8" s="12">
        <v>5.5</v>
      </c>
      <c r="BD8" s="12">
        <v>6</v>
      </c>
      <c r="BE8" s="12">
        <v>6.5</v>
      </c>
      <c r="BF8" s="12">
        <v>70.2</v>
      </c>
      <c r="BG8" s="11">
        <v>325.89999999999998</v>
      </c>
      <c r="BH8" s="28">
        <v>7</v>
      </c>
      <c r="BI8" s="29">
        <v>4</v>
      </c>
      <c r="BJ8" s="12">
        <v>46.4</v>
      </c>
      <c r="BK8" s="27" t="s">
        <v>139</v>
      </c>
      <c r="BL8" s="27">
        <v>3.3</v>
      </c>
      <c r="BM8" s="12">
        <v>4.5</v>
      </c>
      <c r="BN8" s="12">
        <v>4</v>
      </c>
      <c r="BO8" s="12">
        <v>4.5</v>
      </c>
      <c r="BP8" s="12">
        <v>5</v>
      </c>
      <c r="BQ8" s="12">
        <v>4.5</v>
      </c>
      <c r="BR8" s="12">
        <v>4</v>
      </c>
      <c r="BS8" s="12">
        <v>4</v>
      </c>
      <c r="BT8" s="12">
        <v>42.9</v>
      </c>
      <c r="BU8" s="11">
        <v>368.8</v>
      </c>
      <c r="BV8" s="28">
        <v>11</v>
      </c>
      <c r="BW8" s="29">
        <v>6</v>
      </c>
      <c r="BX8" s="12">
        <v>92.3</v>
      </c>
      <c r="BY8" s="27" t="s">
        <v>140</v>
      </c>
      <c r="BZ8" s="27">
        <v>3.2</v>
      </c>
      <c r="CA8" s="12">
        <v>8</v>
      </c>
      <c r="CB8" s="12">
        <v>8</v>
      </c>
      <c r="CC8" s="12">
        <v>8</v>
      </c>
      <c r="CD8" s="12">
        <v>8</v>
      </c>
      <c r="CE8" s="12">
        <v>8</v>
      </c>
      <c r="CF8" s="12">
        <v>8</v>
      </c>
      <c r="CG8" s="12">
        <v>8</v>
      </c>
      <c r="CH8" s="12">
        <v>76.8</v>
      </c>
      <c r="CI8" s="11">
        <v>445.6</v>
      </c>
      <c r="CJ8" s="28">
        <v>9</v>
      </c>
      <c r="CK8" s="29">
        <v>7</v>
      </c>
      <c r="CL8" s="12">
        <v>101.9</v>
      </c>
      <c r="CM8" s="22">
        <v>2024</v>
      </c>
      <c r="CN8" s="22" t="s">
        <v>175</v>
      </c>
      <c r="CO8" s="22" t="s">
        <v>141</v>
      </c>
    </row>
    <row r="9" spans="1:93" x14ac:dyDescent="0.35">
      <c r="A9" s="22">
        <v>8</v>
      </c>
      <c r="B9" s="22" t="s">
        <v>55</v>
      </c>
      <c r="C9" s="22" t="s">
        <v>244</v>
      </c>
      <c r="D9" s="22">
        <v>18</v>
      </c>
      <c r="E9" s="6">
        <v>426.9</v>
      </c>
      <c r="F9" s="6">
        <v>120.6</v>
      </c>
      <c r="G9" s="27" t="s">
        <v>137</v>
      </c>
      <c r="H9" s="27">
        <v>3.2</v>
      </c>
      <c r="I9" s="12">
        <v>7</v>
      </c>
      <c r="J9" s="12">
        <v>7</v>
      </c>
      <c r="K9" s="12">
        <v>7</v>
      </c>
      <c r="L9" s="12">
        <v>7.5</v>
      </c>
      <c r="M9" s="12">
        <v>7</v>
      </c>
      <c r="N9" s="12">
        <v>7</v>
      </c>
      <c r="O9" s="12">
        <v>7</v>
      </c>
      <c r="P9" s="12">
        <v>67.2</v>
      </c>
      <c r="Q9" s="11">
        <v>67.2</v>
      </c>
      <c r="R9" s="28">
        <v>11</v>
      </c>
      <c r="S9" s="29">
        <v>11</v>
      </c>
      <c r="T9" s="12">
        <v>29.7</v>
      </c>
      <c r="U9" s="27" t="s">
        <v>174</v>
      </c>
      <c r="V9" s="27">
        <v>3.7</v>
      </c>
      <c r="W9" s="12">
        <v>6</v>
      </c>
      <c r="X9" s="12">
        <v>6</v>
      </c>
      <c r="Y9" s="12">
        <v>4.5</v>
      </c>
      <c r="Z9" s="12">
        <v>6</v>
      </c>
      <c r="AA9" s="12">
        <v>6</v>
      </c>
      <c r="AB9" s="12">
        <v>5.5</v>
      </c>
      <c r="AC9" s="12">
        <v>6</v>
      </c>
      <c r="AD9" s="12">
        <v>66.599999999999994</v>
      </c>
      <c r="AE9" s="11">
        <v>133.80000000000001</v>
      </c>
      <c r="AF9" s="28">
        <v>9</v>
      </c>
      <c r="AG9" s="29">
        <v>11</v>
      </c>
      <c r="AH9" s="12">
        <v>49.6</v>
      </c>
      <c r="AI9" s="27" t="s">
        <v>164</v>
      </c>
      <c r="AJ9" s="27">
        <v>3.4</v>
      </c>
      <c r="AK9" s="12">
        <v>6.5</v>
      </c>
      <c r="AL9" s="12">
        <v>6.5</v>
      </c>
      <c r="AM9" s="12">
        <v>7</v>
      </c>
      <c r="AN9" s="12">
        <v>7</v>
      </c>
      <c r="AO9" s="12">
        <v>6.5</v>
      </c>
      <c r="AP9" s="12">
        <v>5.5</v>
      </c>
      <c r="AQ9" s="12">
        <v>6.5</v>
      </c>
      <c r="AR9" s="12">
        <v>66.3</v>
      </c>
      <c r="AS9" s="11">
        <v>200.1</v>
      </c>
      <c r="AT9" s="28">
        <v>10</v>
      </c>
      <c r="AU9" s="29">
        <v>11</v>
      </c>
      <c r="AV9" s="12">
        <v>80.400000000000006</v>
      </c>
      <c r="AW9" s="27" t="s">
        <v>234</v>
      </c>
      <c r="AX9" s="27">
        <v>3.6</v>
      </c>
      <c r="AY9" s="12">
        <v>7.5</v>
      </c>
      <c r="AZ9" s="12">
        <v>7</v>
      </c>
      <c r="BA9" s="12">
        <v>8</v>
      </c>
      <c r="BB9" s="12">
        <v>6.5</v>
      </c>
      <c r="BC9" s="12">
        <v>7</v>
      </c>
      <c r="BD9" s="12">
        <v>7</v>
      </c>
      <c r="BE9" s="12">
        <v>6</v>
      </c>
      <c r="BF9" s="12">
        <v>75.599999999999994</v>
      </c>
      <c r="BG9" s="11">
        <v>275.7</v>
      </c>
      <c r="BH9" s="28">
        <v>5</v>
      </c>
      <c r="BI9" s="29">
        <v>10</v>
      </c>
      <c r="BJ9" s="12">
        <v>96.6</v>
      </c>
      <c r="BK9" s="27" t="s">
        <v>235</v>
      </c>
      <c r="BL9" s="27">
        <v>3.6</v>
      </c>
      <c r="BM9" s="12">
        <v>6</v>
      </c>
      <c r="BN9" s="12">
        <v>6</v>
      </c>
      <c r="BO9" s="12">
        <v>7</v>
      </c>
      <c r="BP9" s="12">
        <v>6</v>
      </c>
      <c r="BQ9" s="12">
        <v>5</v>
      </c>
      <c r="BR9" s="12">
        <v>5.5</v>
      </c>
      <c r="BS9" s="12">
        <v>6</v>
      </c>
      <c r="BT9" s="12">
        <v>64.8</v>
      </c>
      <c r="BU9" s="11">
        <v>340.5</v>
      </c>
      <c r="BV9" s="28">
        <v>7</v>
      </c>
      <c r="BW9" s="29">
        <v>8</v>
      </c>
      <c r="BX9" s="12">
        <v>120.6</v>
      </c>
      <c r="BY9" s="27" t="s">
        <v>236</v>
      </c>
      <c r="BZ9" s="27">
        <v>3.6</v>
      </c>
      <c r="CA9" s="12">
        <v>8</v>
      </c>
      <c r="CB9" s="12">
        <v>8</v>
      </c>
      <c r="CC9" s="12">
        <v>8</v>
      </c>
      <c r="CD9" s="12">
        <v>8</v>
      </c>
      <c r="CE9" s="12">
        <v>8</v>
      </c>
      <c r="CF9" s="12">
        <v>8</v>
      </c>
      <c r="CG9" s="12">
        <v>8</v>
      </c>
      <c r="CH9" s="12">
        <v>86.4</v>
      </c>
      <c r="CI9" s="11">
        <v>426.9</v>
      </c>
      <c r="CJ9" s="28">
        <f>4</f>
        <v>4</v>
      </c>
      <c r="CK9" s="29">
        <v>8</v>
      </c>
      <c r="CL9" s="12">
        <v>120.6</v>
      </c>
      <c r="CM9" s="22">
        <v>2024</v>
      </c>
      <c r="CN9" s="22" t="s">
        <v>175</v>
      </c>
      <c r="CO9" s="22" t="s">
        <v>141</v>
      </c>
    </row>
    <row r="10" spans="1:93" x14ac:dyDescent="0.35">
      <c r="A10" s="22">
        <v>9</v>
      </c>
      <c r="B10" s="22" t="s">
        <v>18</v>
      </c>
      <c r="C10" s="22" t="s">
        <v>268</v>
      </c>
      <c r="D10" s="22">
        <v>23</v>
      </c>
      <c r="E10" s="6">
        <v>420.65</v>
      </c>
      <c r="F10" s="6">
        <v>126.85</v>
      </c>
      <c r="G10" s="27" t="s">
        <v>137</v>
      </c>
      <c r="H10" s="27">
        <v>3.2</v>
      </c>
      <c r="I10" s="12">
        <v>7</v>
      </c>
      <c r="J10" s="12">
        <v>7</v>
      </c>
      <c r="K10" s="12">
        <v>6.5</v>
      </c>
      <c r="L10" s="12">
        <v>7.5</v>
      </c>
      <c r="M10" s="12">
        <v>6.5</v>
      </c>
      <c r="N10" s="12">
        <v>7</v>
      </c>
      <c r="O10" s="12">
        <v>6.5</v>
      </c>
      <c r="P10" s="12">
        <v>65.599999999999994</v>
      </c>
      <c r="Q10" s="11">
        <v>65.599999999999994</v>
      </c>
      <c r="R10" s="28">
        <v>12</v>
      </c>
      <c r="S10" s="29">
        <v>12</v>
      </c>
      <c r="T10" s="12">
        <v>31.3</v>
      </c>
      <c r="U10" s="27" t="s">
        <v>240</v>
      </c>
      <c r="V10" s="27">
        <v>3.5</v>
      </c>
      <c r="W10" s="12">
        <v>5.5</v>
      </c>
      <c r="X10" s="12">
        <v>5.5</v>
      </c>
      <c r="Y10" s="12">
        <v>6.5</v>
      </c>
      <c r="Z10" s="12">
        <v>5.5</v>
      </c>
      <c r="AA10" s="12">
        <v>6.5</v>
      </c>
      <c r="AB10" s="12">
        <v>6</v>
      </c>
      <c r="AC10" s="12">
        <v>5.5</v>
      </c>
      <c r="AD10" s="12">
        <v>59.5</v>
      </c>
      <c r="AE10" s="11">
        <v>125.1</v>
      </c>
      <c r="AF10" s="28">
        <f>11</f>
        <v>11</v>
      </c>
      <c r="AG10" s="29">
        <v>12</v>
      </c>
      <c r="AH10" s="12">
        <v>58.3</v>
      </c>
      <c r="AI10" s="27" t="s">
        <v>164</v>
      </c>
      <c r="AJ10" s="27">
        <v>3.4</v>
      </c>
      <c r="AK10" s="12">
        <v>7.5</v>
      </c>
      <c r="AL10" s="12">
        <v>8</v>
      </c>
      <c r="AM10" s="12">
        <v>8</v>
      </c>
      <c r="AN10" s="12">
        <v>8</v>
      </c>
      <c r="AO10" s="12">
        <v>7.5</v>
      </c>
      <c r="AP10" s="12">
        <v>8.5</v>
      </c>
      <c r="AQ10" s="12">
        <v>7.5</v>
      </c>
      <c r="AR10" s="12">
        <v>79.900000000000006</v>
      </c>
      <c r="AS10" s="11">
        <v>205</v>
      </c>
      <c r="AT10" s="28">
        <v>5</v>
      </c>
      <c r="AU10" s="29">
        <v>10</v>
      </c>
      <c r="AV10" s="12">
        <v>75.5</v>
      </c>
      <c r="AW10" s="27" t="s">
        <v>234</v>
      </c>
      <c r="AX10" s="27">
        <v>3.6</v>
      </c>
      <c r="AY10" s="12">
        <v>7.5</v>
      </c>
      <c r="AZ10" s="12">
        <v>7</v>
      </c>
      <c r="BA10" s="12">
        <v>7</v>
      </c>
      <c r="BB10" s="12">
        <v>7</v>
      </c>
      <c r="BC10" s="12">
        <v>8</v>
      </c>
      <c r="BD10" s="12">
        <v>7.5</v>
      </c>
      <c r="BE10" s="12">
        <v>7</v>
      </c>
      <c r="BF10" s="12">
        <v>77.400000000000006</v>
      </c>
      <c r="BG10" s="11">
        <v>282.39999999999998</v>
      </c>
      <c r="BH10" s="28">
        <v>4</v>
      </c>
      <c r="BI10" s="29">
        <v>8</v>
      </c>
      <c r="BJ10" s="12">
        <v>89.9</v>
      </c>
      <c r="BK10" s="27" t="s">
        <v>174</v>
      </c>
      <c r="BL10" s="27">
        <v>3.7</v>
      </c>
      <c r="BM10" s="12">
        <v>4</v>
      </c>
      <c r="BN10" s="12">
        <v>5.5</v>
      </c>
      <c r="BO10" s="12">
        <v>5.5</v>
      </c>
      <c r="BP10" s="12">
        <v>4.5</v>
      </c>
      <c r="BQ10" s="12">
        <v>5</v>
      </c>
      <c r="BR10" s="12">
        <v>5</v>
      </c>
      <c r="BS10" s="12">
        <v>4.5</v>
      </c>
      <c r="BT10" s="12">
        <v>53.65</v>
      </c>
      <c r="BU10" s="11">
        <v>336.05</v>
      </c>
      <c r="BV10" s="28">
        <v>9</v>
      </c>
      <c r="BW10" s="29">
        <v>9</v>
      </c>
      <c r="BX10" s="12">
        <v>125.05</v>
      </c>
      <c r="BY10" s="27" t="s">
        <v>236</v>
      </c>
      <c r="BZ10" s="27">
        <v>3.6</v>
      </c>
      <c r="CA10" s="12">
        <v>8</v>
      </c>
      <c r="CB10" s="12">
        <v>8</v>
      </c>
      <c r="CC10" s="12">
        <v>8</v>
      </c>
      <c r="CD10" s="12">
        <v>7.5</v>
      </c>
      <c r="CE10" s="12">
        <v>7.5</v>
      </c>
      <c r="CF10" s="12">
        <v>7.5</v>
      </c>
      <c r="CG10" s="12">
        <v>8</v>
      </c>
      <c r="CH10" s="12">
        <v>84.6</v>
      </c>
      <c r="CI10" s="11">
        <v>420.65</v>
      </c>
      <c r="CJ10" s="28">
        <v>6</v>
      </c>
      <c r="CK10" s="29">
        <v>9</v>
      </c>
      <c r="CL10" s="12">
        <v>126.85</v>
      </c>
      <c r="CM10" s="22">
        <v>2024</v>
      </c>
      <c r="CN10" s="22" t="s">
        <v>175</v>
      </c>
      <c r="CO10" s="22" t="s">
        <v>141</v>
      </c>
    </row>
    <row r="11" spans="1:93" x14ac:dyDescent="0.35">
      <c r="A11" s="22">
        <v>10</v>
      </c>
      <c r="B11" s="22" t="s">
        <v>40</v>
      </c>
      <c r="C11" s="22" t="s">
        <v>245</v>
      </c>
      <c r="D11" s="22">
        <v>21</v>
      </c>
      <c r="E11" s="6">
        <v>404.9</v>
      </c>
      <c r="F11" s="6">
        <v>142.6</v>
      </c>
      <c r="G11" s="27" t="s">
        <v>137</v>
      </c>
      <c r="H11" s="27">
        <v>3.2</v>
      </c>
      <c r="I11" s="12">
        <v>8.5</v>
      </c>
      <c r="J11" s="12">
        <v>8.5</v>
      </c>
      <c r="K11" s="12">
        <v>9</v>
      </c>
      <c r="L11" s="12">
        <v>9</v>
      </c>
      <c r="M11" s="12">
        <v>8.5</v>
      </c>
      <c r="N11" s="12">
        <v>8</v>
      </c>
      <c r="O11" s="12">
        <v>9</v>
      </c>
      <c r="P11" s="12">
        <v>83.2</v>
      </c>
      <c r="Q11" s="11">
        <v>83.2</v>
      </c>
      <c r="R11" s="28">
        <v>5</v>
      </c>
      <c r="S11" s="29">
        <v>5</v>
      </c>
      <c r="T11" s="12">
        <v>13.7</v>
      </c>
      <c r="U11" s="27" t="s">
        <v>174</v>
      </c>
      <c r="V11" s="27">
        <v>3.7</v>
      </c>
      <c r="W11" s="12">
        <v>5.5</v>
      </c>
      <c r="X11" s="12">
        <v>5.5</v>
      </c>
      <c r="Y11" s="12">
        <v>6</v>
      </c>
      <c r="Z11" s="12">
        <v>5.5</v>
      </c>
      <c r="AA11" s="12">
        <v>5.5</v>
      </c>
      <c r="AB11" s="12">
        <v>4.5</v>
      </c>
      <c r="AC11" s="12">
        <v>5.5</v>
      </c>
      <c r="AD11" s="12">
        <v>61.05</v>
      </c>
      <c r="AE11" s="11">
        <v>144.25</v>
      </c>
      <c r="AF11" s="28">
        <v>10</v>
      </c>
      <c r="AG11" s="29">
        <v>8</v>
      </c>
      <c r="AH11" s="12">
        <v>39.15</v>
      </c>
      <c r="AI11" s="27" t="s">
        <v>139</v>
      </c>
      <c r="AJ11" s="27">
        <v>3.3</v>
      </c>
      <c r="AK11" s="12">
        <v>6.5</v>
      </c>
      <c r="AL11" s="12">
        <v>6.5</v>
      </c>
      <c r="AM11" s="12">
        <v>6.5</v>
      </c>
      <c r="AN11" s="12">
        <v>6</v>
      </c>
      <c r="AO11" s="12">
        <v>6.5</v>
      </c>
      <c r="AP11" s="12">
        <v>7</v>
      </c>
      <c r="AQ11" s="12">
        <v>6.5</v>
      </c>
      <c r="AR11" s="12">
        <v>64.349999999999994</v>
      </c>
      <c r="AS11" s="11">
        <v>208.6</v>
      </c>
      <c r="AT11" s="28">
        <v>11</v>
      </c>
      <c r="AU11" s="29">
        <v>9</v>
      </c>
      <c r="AV11" s="12">
        <v>71.900000000000006</v>
      </c>
      <c r="AW11" s="27" t="s">
        <v>138</v>
      </c>
      <c r="AX11" s="27">
        <v>3.2</v>
      </c>
      <c r="AY11" s="12">
        <v>7.5</v>
      </c>
      <c r="AZ11" s="12">
        <v>7.5</v>
      </c>
      <c r="BA11" s="12">
        <v>7.5</v>
      </c>
      <c r="BB11" s="12">
        <v>8</v>
      </c>
      <c r="BC11" s="12">
        <v>7.5</v>
      </c>
      <c r="BD11" s="12">
        <v>7.5</v>
      </c>
      <c r="BE11" s="12">
        <v>8</v>
      </c>
      <c r="BF11" s="12">
        <v>72</v>
      </c>
      <c r="BG11" s="11">
        <v>280.60000000000002</v>
      </c>
      <c r="BH11" s="28">
        <v>6</v>
      </c>
      <c r="BI11" s="29">
        <v>9</v>
      </c>
      <c r="BJ11" s="12">
        <v>91.7</v>
      </c>
      <c r="BK11" s="27" t="s">
        <v>164</v>
      </c>
      <c r="BL11" s="27">
        <v>3.4</v>
      </c>
      <c r="BM11" s="12">
        <v>4.5</v>
      </c>
      <c r="BN11" s="12">
        <v>5</v>
      </c>
      <c r="BO11" s="12">
        <v>4.5</v>
      </c>
      <c r="BP11" s="12">
        <v>4.5</v>
      </c>
      <c r="BQ11" s="12">
        <v>4.5</v>
      </c>
      <c r="BR11" s="12">
        <v>4.5</v>
      </c>
      <c r="BS11" s="12">
        <v>3.5</v>
      </c>
      <c r="BT11" s="12">
        <v>45.9</v>
      </c>
      <c r="BU11" s="11">
        <v>326.5</v>
      </c>
      <c r="BV11" s="28">
        <v>10</v>
      </c>
      <c r="BW11" s="29">
        <v>12</v>
      </c>
      <c r="BX11" s="12">
        <v>134.6</v>
      </c>
      <c r="BY11" s="27" t="s">
        <v>140</v>
      </c>
      <c r="BZ11" s="27">
        <v>3.2</v>
      </c>
      <c r="CA11" s="12">
        <v>8</v>
      </c>
      <c r="CB11" s="12">
        <v>8</v>
      </c>
      <c r="CC11" s="12">
        <v>8.5</v>
      </c>
      <c r="CD11" s="12">
        <v>8</v>
      </c>
      <c r="CE11" s="12">
        <v>8.5</v>
      </c>
      <c r="CF11" s="12">
        <v>8</v>
      </c>
      <c r="CG11" s="12">
        <v>8.5</v>
      </c>
      <c r="CH11" s="12">
        <v>78.400000000000006</v>
      </c>
      <c r="CI11" s="11">
        <v>404.9</v>
      </c>
      <c r="CJ11" s="28">
        <v>7</v>
      </c>
      <c r="CK11" s="29">
        <v>10</v>
      </c>
      <c r="CL11" s="12">
        <v>142.6</v>
      </c>
      <c r="CM11" s="22">
        <v>2024</v>
      </c>
      <c r="CN11" s="22" t="s">
        <v>175</v>
      </c>
      <c r="CO11" s="22" t="s">
        <v>141</v>
      </c>
    </row>
    <row r="12" spans="1:93" x14ac:dyDescent="0.35">
      <c r="A12" s="22">
        <v>11</v>
      </c>
      <c r="B12" s="22" t="s">
        <v>17</v>
      </c>
      <c r="C12" s="22" t="s">
        <v>246</v>
      </c>
      <c r="D12" s="22">
        <v>26</v>
      </c>
      <c r="E12" s="6">
        <v>401.55</v>
      </c>
      <c r="F12" s="6">
        <v>145.94999999999999</v>
      </c>
      <c r="G12" s="27" t="s">
        <v>138</v>
      </c>
      <c r="H12" s="27">
        <v>3.2</v>
      </c>
      <c r="I12" s="12">
        <v>7</v>
      </c>
      <c r="J12" s="12">
        <v>7</v>
      </c>
      <c r="K12" s="12">
        <v>7.5</v>
      </c>
      <c r="L12" s="12">
        <v>7.5</v>
      </c>
      <c r="M12" s="12">
        <v>7.5</v>
      </c>
      <c r="N12" s="12">
        <v>7</v>
      </c>
      <c r="O12" s="12">
        <v>7.5</v>
      </c>
      <c r="P12" s="12">
        <v>70.400000000000006</v>
      </c>
      <c r="Q12" s="11">
        <v>70.400000000000006</v>
      </c>
      <c r="R12" s="28">
        <f>9</f>
        <v>9</v>
      </c>
      <c r="S12" s="29">
        <f>9</f>
        <v>9</v>
      </c>
      <c r="T12" s="12">
        <v>26.5</v>
      </c>
      <c r="U12" s="27" t="s">
        <v>164</v>
      </c>
      <c r="V12" s="27">
        <v>3.4</v>
      </c>
      <c r="W12" s="12">
        <v>8</v>
      </c>
      <c r="X12" s="12">
        <v>8.5</v>
      </c>
      <c r="Y12" s="12">
        <v>8.5</v>
      </c>
      <c r="Z12" s="12">
        <v>8</v>
      </c>
      <c r="AA12" s="12">
        <v>8</v>
      </c>
      <c r="AB12" s="12">
        <v>8</v>
      </c>
      <c r="AC12" s="12">
        <v>8</v>
      </c>
      <c r="AD12" s="12">
        <v>81.599999999999994</v>
      </c>
      <c r="AE12" s="11">
        <v>152</v>
      </c>
      <c r="AF12" s="28">
        <v>6</v>
      </c>
      <c r="AG12" s="29">
        <v>7</v>
      </c>
      <c r="AH12" s="12">
        <v>31.4</v>
      </c>
      <c r="AI12" s="27" t="s">
        <v>137</v>
      </c>
      <c r="AJ12" s="27">
        <v>3.2</v>
      </c>
      <c r="AK12" s="12">
        <v>7.5</v>
      </c>
      <c r="AL12" s="12">
        <v>7.5</v>
      </c>
      <c r="AM12" s="12">
        <v>7.5</v>
      </c>
      <c r="AN12" s="12">
        <v>7</v>
      </c>
      <c r="AO12" s="12">
        <v>7.5</v>
      </c>
      <c r="AP12" s="12">
        <v>7.5</v>
      </c>
      <c r="AQ12" s="12">
        <v>8</v>
      </c>
      <c r="AR12" s="12">
        <v>72</v>
      </c>
      <c r="AS12" s="11">
        <v>224</v>
      </c>
      <c r="AT12" s="28">
        <v>9</v>
      </c>
      <c r="AU12" s="29">
        <v>7</v>
      </c>
      <c r="AV12" s="12">
        <v>56.5</v>
      </c>
      <c r="AW12" s="27" t="s">
        <v>139</v>
      </c>
      <c r="AX12" s="27">
        <v>3.3</v>
      </c>
      <c r="AY12" s="12">
        <v>4.5</v>
      </c>
      <c r="AZ12" s="12">
        <v>4.5</v>
      </c>
      <c r="BA12" s="12">
        <v>4.5</v>
      </c>
      <c r="BB12" s="12">
        <v>5</v>
      </c>
      <c r="BC12" s="12">
        <v>4.5</v>
      </c>
      <c r="BD12" s="12">
        <v>4.5</v>
      </c>
      <c r="BE12" s="12">
        <v>4</v>
      </c>
      <c r="BF12" s="12">
        <v>44.55</v>
      </c>
      <c r="BG12" s="11">
        <v>268.55</v>
      </c>
      <c r="BH12" s="28">
        <v>12</v>
      </c>
      <c r="BI12" s="29">
        <v>11</v>
      </c>
      <c r="BJ12" s="12">
        <v>103.75</v>
      </c>
      <c r="BK12" s="27" t="s">
        <v>174</v>
      </c>
      <c r="BL12" s="27">
        <v>3.7</v>
      </c>
      <c r="BM12" s="12">
        <v>6</v>
      </c>
      <c r="BN12" s="12">
        <v>6.5</v>
      </c>
      <c r="BO12" s="12">
        <v>5</v>
      </c>
      <c r="BP12" s="12">
        <v>5.5</v>
      </c>
      <c r="BQ12" s="12">
        <v>5.5</v>
      </c>
      <c r="BR12" s="12">
        <v>5</v>
      </c>
      <c r="BS12" s="12">
        <v>5</v>
      </c>
      <c r="BT12" s="12">
        <v>59.2</v>
      </c>
      <c r="BU12" s="11">
        <v>327.75</v>
      </c>
      <c r="BV12" s="28">
        <v>8</v>
      </c>
      <c r="BW12" s="29">
        <v>11</v>
      </c>
      <c r="BX12" s="12">
        <v>133.35</v>
      </c>
      <c r="BY12" s="27" t="s">
        <v>236</v>
      </c>
      <c r="BZ12" s="27">
        <v>3.6</v>
      </c>
      <c r="CA12" s="12">
        <v>7</v>
      </c>
      <c r="CB12" s="12">
        <v>6.5</v>
      </c>
      <c r="CC12" s="12">
        <v>7</v>
      </c>
      <c r="CD12" s="12">
        <v>7</v>
      </c>
      <c r="CE12" s="12">
        <v>6.5</v>
      </c>
      <c r="CF12" s="12">
        <v>6.5</v>
      </c>
      <c r="CG12" s="12">
        <v>7</v>
      </c>
      <c r="CH12" s="12">
        <v>73.8</v>
      </c>
      <c r="CI12" s="11">
        <v>401.55</v>
      </c>
      <c r="CJ12" s="28">
        <v>10</v>
      </c>
      <c r="CK12" s="29">
        <v>11</v>
      </c>
      <c r="CL12" s="12">
        <v>145.94999999999999</v>
      </c>
      <c r="CM12" s="22">
        <v>2024</v>
      </c>
      <c r="CN12" s="22" t="s">
        <v>175</v>
      </c>
      <c r="CO12" s="22" t="s">
        <v>141</v>
      </c>
    </row>
    <row r="13" spans="1:93" x14ac:dyDescent="0.35">
      <c r="A13" s="22">
        <v>12</v>
      </c>
      <c r="B13" s="22" t="s">
        <v>3</v>
      </c>
      <c r="C13" s="22" t="s">
        <v>269</v>
      </c>
      <c r="D13" s="22">
        <v>26</v>
      </c>
      <c r="E13" s="6">
        <v>390.2</v>
      </c>
      <c r="F13" s="6">
        <v>157.30000000000001</v>
      </c>
      <c r="G13" s="27" t="s">
        <v>137</v>
      </c>
      <c r="H13" s="27">
        <v>3.2</v>
      </c>
      <c r="I13" s="12">
        <v>7.5</v>
      </c>
      <c r="J13" s="12">
        <v>8</v>
      </c>
      <c r="K13" s="12">
        <v>8</v>
      </c>
      <c r="L13" s="12">
        <v>8.5</v>
      </c>
      <c r="M13" s="12">
        <v>8.5</v>
      </c>
      <c r="N13" s="12">
        <v>8</v>
      </c>
      <c r="O13" s="12">
        <v>8</v>
      </c>
      <c r="P13" s="12">
        <v>76.8</v>
      </c>
      <c r="Q13" s="11">
        <v>76.8</v>
      </c>
      <c r="R13" s="28">
        <f>7</f>
        <v>7</v>
      </c>
      <c r="S13" s="29">
        <f>7</f>
        <v>7</v>
      </c>
      <c r="T13" s="12">
        <v>20.100000000000001</v>
      </c>
      <c r="U13" s="27" t="s">
        <v>240</v>
      </c>
      <c r="V13" s="27">
        <v>3.5</v>
      </c>
      <c r="W13" s="12">
        <v>5</v>
      </c>
      <c r="X13" s="12">
        <v>5.5</v>
      </c>
      <c r="Y13" s="12">
        <v>5.5</v>
      </c>
      <c r="Z13" s="12">
        <v>6.5</v>
      </c>
      <c r="AA13" s="12">
        <v>5.5</v>
      </c>
      <c r="AB13" s="12">
        <v>6</v>
      </c>
      <c r="AC13" s="12">
        <v>6</v>
      </c>
      <c r="AD13" s="12">
        <v>59.5</v>
      </c>
      <c r="AE13" s="11">
        <v>136.30000000000001</v>
      </c>
      <c r="AF13" s="28">
        <f>11</f>
        <v>11</v>
      </c>
      <c r="AG13" s="29">
        <v>10</v>
      </c>
      <c r="AH13" s="12">
        <v>47.1</v>
      </c>
      <c r="AI13" s="27" t="s">
        <v>164</v>
      </c>
      <c r="AJ13" s="27">
        <v>3.4</v>
      </c>
      <c r="AK13" s="12">
        <v>6.5</v>
      </c>
      <c r="AL13" s="12">
        <v>7</v>
      </c>
      <c r="AM13" s="12">
        <v>6</v>
      </c>
      <c r="AN13" s="12">
        <v>6.5</v>
      </c>
      <c r="AO13" s="12">
        <v>5.5</v>
      </c>
      <c r="AP13" s="12">
        <v>5</v>
      </c>
      <c r="AQ13" s="12">
        <v>5.5</v>
      </c>
      <c r="AR13" s="12">
        <v>61.2</v>
      </c>
      <c r="AS13" s="11">
        <v>197.5</v>
      </c>
      <c r="AT13" s="28">
        <v>12</v>
      </c>
      <c r="AU13" s="29">
        <v>12</v>
      </c>
      <c r="AV13" s="12">
        <v>83</v>
      </c>
      <c r="AW13" s="27" t="s">
        <v>234</v>
      </c>
      <c r="AX13" s="27">
        <v>3.6</v>
      </c>
      <c r="AY13" s="12">
        <v>5</v>
      </c>
      <c r="AZ13" s="12">
        <v>5</v>
      </c>
      <c r="BA13" s="12">
        <v>5.5</v>
      </c>
      <c r="BB13" s="12">
        <v>5.5</v>
      </c>
      <c r="BC13" s="12">
        <v>5</v>
      </c>
      <c r="BD13" s="12">
        <v>4.5</v>
      </c>
      <c r="BE13" s="12">
        <v>4.5</v>
      </c>
      <c r="BF13" s="12">
        <v>54</v>
      </c>
      <c r="BG13" s="11">
        <v>251.5</v>
      </c>
      <c r="BH13" s="28">
        <v>11</v>
      </c>
      <c r="BI13" s="29">
        <v>12</v>
      </c>
      <c r="BJ13" s="12">
        <v>120.8</v>
      </c>
      <c r="BK13" s="27" t="s">
        <v>140</v>
      </c>
      <c r="BL13" s="27">
        <v>3.2</v>
      </c>
      <c r="BM13" s="12">
        <v>9</v>
      </c>
      <c r="BN13" s="12">
        <v>9</v>
      </c>
      <c r="BO13" s="12">
        <v>8.5</v>
      </c>
      <c r="BP13" s="12">
        <v>9</v>
      </c>
      <c r="BQ13" s="12">
        <v>8.5</v>
      </c>
      <c r="BR13" s="12">
        <v>8</v>
      </c>
      <c r="BS13" s="12">
        <v>8</v>
      </c>
      <c r="BT13" s="12">
        <v>83.2</v>
      </c>
      <c r="BU13" s="11">
        <v>334.7</v>
      </c>
      <c r="BV13" s="28">
        <v>4</v>
      </c>
      <c r="BW13" s="29">
        <v>10</v>
      </c>
      <c r="BX13" s="12">
        <v>126.4</v>
      </c>
      <c r="BY13" s="27" t="s">
        <v>174</v>
      </c>
      <c r="BZ13" s="27">
        <v>3.7</v>
      </c>
      <c r="CA13" s="12">
        <v>4.5</v>
      </c>
      <c r="CB13" s="12">
        <v>5</v>
      </c>
      <c r="CC13" s="12">
        <v>6.5</v>
      </c>
      <c r="CD13" s="12">
        <v>5</v>
      </c>
      <c r="CE13" s="12">
        <v>5.5</v>
      </c>
      <c r="CF13" s="12">
        <v>4.5</v>
      </c>
      <c r="CG13" s="12">
        <v>5</v>
      </c>
      <c r="CH13" s="12">
        <v>55.5</v>
      </c>
      <c r="CI13" s="11">
        <v>390.2</v>
      </c>
      <c r="CJ13" s="28">
        <v>12</v>
      </c>
      <c r="CK13" s="29">
        <v>12</v>
      </c>
      <c r="CL13" s="12">
        <v>157.30000000000001</v>
      </c>
      <c r="CM13" s="22">
        <v>2024</v>
      </c>
      <c r="CN13" s="22" t="s">
        <v>175</v>
      </c>
      <c r="CO13" s="22" t="s">
        <v>141</v>
      </c>
    </row>
    <row r="14" spans="1:93" x14ac:dyDescent="0.35">
      <c r="A14" s="23">
        <v>1</v>
      </c>
      <c r="B14" s="23" t="s">
        <v>3</v>
      </c>
      <c r="C14" s="23" t="s">
        <v>203</v>
      </c>
      <c r="D14" s="23">
        <v>26</v>
      </c>
      <c r="E14" s="9">
        <v>582.35</v>
      </c>
      <c r="F14" s="9">
        <v>0</v>
      </c>
      <c r="G14" s="27" t="s">
        <v>164</v>
      </c>
      <c r="H14" s="27">
        <v>3.4</v>
      </c>
      <c r="I14" s="11">
        <v>10</v>
      </c>
      <c r="J14" s="12">
        <v>9.5</v>
      </c>
      <c r="K14" s="12">
        <v>9.5</v>
      </c>
      <c r="L14" s="11">
        <v>10</v>
      </c>
      <c r="M14" s="11">
        <v>10</v>
      </c>
      <c r="N14" s="11">
        <v>10</v>
      </c>
      <c r="O14" s="11">
        <v>10</v>
      </c>
      <c r="P14" s="12">
        <v>102</v>
      </c>
      <c r="Q14" s="11">
        <v>102</v>
      </c>
      <c r="R14" s="28">
        <v>1</v>
      </c>
      <c r="S14" s="29">
        <v>1</v>
      </c>
      <c r="T14" s="12">
        <v>0</v>
      </c>
      <c r="U14" s="27" t="s">
        <v>137</v>
      </c>
      <c r="V14" s="27">
        <v>3.2</v>
      </c>
      <c r="W14" s="12">
        <v>9</v>
      </c>
      <c r="X14" s="12">
        <v>8.5</v>
      </c>
      <c r="Y14" s="12">
        <v>8.5</v>
      </c>
      <c r="Z14" s="12">
        <v>8.5</v>
      </c>
      <c r="AA14" s="12">
        <v>8</v>
      </c>
      <c r="AB14" s="12">
        <v>8.5</v>
      </c>
      <c r="AC14" s="12">
        <v>9</v>
      </c>
      <c r="AD14" s="12">
        <v>81.599999999999994</v>
      </c>
      <c r="AE14" s="11">
        <v>183.6</v>
      </c>
      <c r="AF14" s="28">
        <v>6</v>
      </c>
      <c r="AG14" s="29">
        <v>3</v>
      </c>
      <c r="AH14" s="12">
        <v>6.2</v>
      </c>
      <c r="AI14" s="27" t="s">
        <v>234</v>
      </c>
      <c r="AJ14" s="27">
        <v>3.6</v>
      </c>
      <c r="AK14" s="12">
        <v>9.5</v>
      </c>
      <c r="AL14" s="12">
        <v>9</v>
      </c>
      <c r="AM14" s="12">
        <v>9</v>
      </c>
      <c r="AN14" s="12">
        <v>9</v>
      </c>
      <c r="AO14" s="12">
        <v>9</v>
      </c>
      <c r="AP14" s="12">
        <v>8.5</v>
      </c>
      <c r="AQ14" s="12">
        <v>8.5</v>
      </c>
      <c r="AR14" s="12">
        <v>97.2</v>
      </c>
      <c r="AS14" s="11">
        <v>280.8</v>
      </c>
      <c r="AT14" s="28">
        <v>1</v>
      </c>
      <c r="AU14" s="29">
        <v>2</v>
      </c>
      <c r="AV14" s="12">
        <v>0.8</v>
      </c>
      <c r="AW14" s="27" t="s">
        <v>235</v>
      </c>
      <c r="AX14" s="27">
        <v>3.6</v>
      </c>
      <c r="AY14" s="12">
        <v>9</v>
      </c>
      <c r="AZ14" s="12">
        <v>9</v>
      </c>
      <c r="BA14" s="12">
        <v>9</v>
      </c>
      <c r="BB14" s="12">
        <v>9</v>
      </c>
      <c r="BC14" s="12">
        <v>9</v>
      </c>
      <c r="BD14" s="12">
        <v>9</v>
      </c>
      <c r="BE14" s="12">
        <v>9</v>
      </c>
      <c r="BF14" s="12">
        <v>97.2</v>
      </c>
      <c r="BG14" s="11">
        <v>378</v>
      </c>
      <c r="BH14" s="28">
        <v>1</v>
      </c>
      <c r="BI14" s="29">
        <v>1</v>
      </c>
      <c r="BJ14" s="12">
        <v>0</v>
      </c>
      <c r="BK14" s="27" t="s">
        <v>174</v>
      </c>
      <c r="BL14" s="27">
        <v>3.7</v>
      </c>
      <c r="BM14" s="12">
        <v>9.5</v>
      </c>
      <c r="BN14" s="12">
        <v>9.5</v>
      </c>
      <c r="BO14" s="12">
        <v>9</v>
      </c>
      <c r="BP14" s="12">
        <v>9</v>
      </c>
      <c r="BQ14" s="12">
        <v>9.5</v>
      </c>
      <c r="BR14" s="12">
        <v>9</v>
      </c>
      <c r="BS14" s="12">
        <v>9</v>
      </c>
      <c r="BT14" s="12">
        <v>101.75</v>
      </c>
      <c r="BU14" s="11">
        <v>479.75</v>
      </c>
      <c r="BV14" s="28">
        <v>2</v>
      </c>
      <c r="BW14" s="29">
        <v>1</v>
      </c>
      <c r="BX14" s="12">
        <v>0</v>
      </c>
      <c r="BY14" s="27" t="s">
        <v>236</v>
      </c>
      <c r="BZ14" s="27">
        <v>3.6</v>
      </c>
      <c r="CA14" s="12">
        <v>9.5</v>
      </c>
      <c r="CB14" s="12">
        <v>9.5</v>
      </c>
      <c r="CC14" s="12">
        <v>9.5</v>
      </c>
      <c r="CD14" s="11">
        <v>10</v>
      </c>
      <c r="CE14" s="11">
        <v>10</v>
      </c>
      <c r="CF14" s="12">
        <v>9.5</v>
      </c>
      <c r="CG14" s="12">
        <v>9.5</v>
      </c>
      <c r="CH14" s="12">
        <v>102.6</v>
      </c>
      <c r="CI14" s="11">
        <v>582.35</v>
      </c>
      <c r="CJ14" s="28">
        <v>2</v>
      </c>
      <c r="CK14" s="29">
        <v>1</v>
      </c>
      <c r="CL14" s="12">
        <v>0</v>
      </c>
      <c r="CM14" s="22">
        <v>2020</v>
      </c>
      <c r="CN14" s="22" t="s">
        <v>175</v>
      </c>
      <c r="CO14" s="22" t="s">
        <v>141</v>
      </c>
    </row>
    <row r="15" spans="1:93" x14ac:dyDescent="0.35">
      <c r="A15" s="22">
        <v>2</v>
      </c>
      <c r="B15" s="22" t="s">
        <v>3</v>
      </c>
      <c r="C15" s="22" t="s">
        <v>247</v>
      </c>
      <c r="D15" s="22">
        <v>27</v>
      </c>
      <c r="E15" s="6">
        <v>580.4</v>
      </c>
      <c r="F15" s="6">
        <v>1.95</v>
      </c>
      <c r="G15" s="27" t="s">
        <v>164</v>
      </c>
      <c r="H15" s="27">
        <v>3.4</v>
      </c>
      <c r="I15" s="12">
        <v>9</v>
      </c>
      <c r="J15" s="12">
        <v>8</v>
      </c>
      <c r="K15" s="12">
        <v>9</v>
      </c>
      <c r="L15" s="12">
        <v>9</v>
      </c>
      <c r="M15" s="12">
        <v>9</v>
      </c>
      <c r="N15" s="12">
        <v>8.5</v>
      </c>
      <c r="O15" s="12">
        <v>8.5</v>
      </c>
      <c r="P15" s="12">
        <v>90.1</v>
      </c>
      <c r="Q15" s="11">
        <v>90.1</v>
      </c>
      <c r="R15" s="28">
        <v>3</v>
      </c>
      <c r="S15" s="29">
        <v>3</v>
      </c>
      <c r="T15" s="12">
        <v>11.9</v>
      </c>
      <c r="U15" s="27" t="s">
        <v>173</v>
      </c>
      <c r="V15" s="27">
        <v>3.5</v>
      </c>
      <c r="W15" s="12">
        <v>9</v>
      </c>
      <c r="X15" s="12">
        <v>9</v>
      </c>
      <c r="Y15" s="12">
        <v>9</v>
      </c>
      <c r="Z15" s="12">
        <v>8.5</v>
      </c>
      <c r="AA15" s="12">
        <v>9</v>
      </c>
      <c r="AB15" s="12">
        <v>8.5</v>
      </c>
      <c r="AC15" s="12">
        <v>9</v>
      </c>
      <c r="AD15" s="12">
        <v>94.5</v>
      </c>
      <c r="AE15" s="11">
        <v>184.6</v>
      </c>
      <c r="AF15" s="28">
        <v>1</v>
      </c>
      <c r="AG15" s="29">
        <v>2</v>
      </c>
      <c r="AH15" s="12">
        <v>5.2</v>
      </c>
      <c r="AI15" s="27" t="s">
        <v>240</v>
      </c>
      <c r="AJ15" s="27">
        <v>3.5</v>
      </c>
      <c r="AK15" s="12">
        <v>9</v>
      </c>
      <c r="AL15" s="12">
        <v>8</v>
      </c>
      <c r="AM15" s="12">
        <v>8.5</v>
      </c>
      <c r="AN15" s="12">
        <v>8.5</v>
      </c>
      <c r="AO15" s="12">
        <v>9</v>
      </c>
      <c r="AP15" s="12">
        <v>8.5</v>
      </c>
      <c r="AQ15" s="12">
        <v>8</v>
      </c>
      <c r="AR15" s="12">
        <v>89.25</v>
      </c>
      <c r="AS15" s="11">
        <v>273.85000000000002</v>
      </c>
      <c r="AT15" s="28">
        <v>4</v>
      </c>
      <c r="AU15" s="29">
        <v>3</v>
      </c>
      <c r="AV15" s="12">
        <v>7.75</v>
      </c>
      <c r="AW15" s="27" t="s">
        <v>177</v>
      </c>
      <c r="AX15" s="27">
        <v>3.8</v>
      </c>
      <c r="AY15" s="12">
        <v>9</v>
      </c>
      <c r="AZ15" s="12">
        <v>7.5</v>
      </c>
      <c r="BA15" s="12">
        <v>8</v>
      </c>
      <c r="BB15" s="12">
        <v>8</v>
      </c>
      <c r="BC15" s="12">
        <v>8</v>
      </c>
      <c r="BD15" s="12">
        <v>7.5</v>
      </c>
      <c r="BE15" s="12">
        <v>8.5</v>
      </c>
      <c r="BF15" s="12">
        <v>91.2</v>
      </c>
      <c r="BG15" s="11">
        <v>365.05</v>
      </c>
      <c r="BH15" s="28">
        <v>2</v>
      </c>
      <c r="BI15" s="29">
        <v>2</v>
      </c>
      <c r="BJ15" s="12">
        <v>12.95</v>
      </c>
      <c r="BK15" s="27" t="s">
        <v>234</v>
      </c>
      <c r="BL15" s="27">
        <v>3.6</v>
      </c>
      <c r="BM15" s="12">
        <v>9.5</v>
      </c>
      <c r="BN15" s="12">
        <v>9.5</v>
      </c>
      <c r="BO15" s="12">
        <v>9.5</v>
      </c>
      <c r="BP15" s="11">
        <v>10</v>
      </c>
      <c r="BQ15" s="11">
        <v>10</v>
      </c>
      <c r="BR15" s="12">
        <v>9.5</v>
      </c>
      <c r="BS15" s="12">
        <v>9</v>
      </c>
      <c r="BT15" s="12">
        <v>102.6</v>
      </c>
      <c r="BU15" s="11">
        <v>467.65</v>
      </c>
      <c r="BV15" s="28">
        <v>1</v>
      </c>
      <c r="BW15" s="29">
        <v>2</v>
      </c>
      <c r="BX15" s="12">
        <v>12.1</v>
      </c>
      <c r="BY15" s="27" t="s">
        <v>241</v>
      </c>
      <c r="BZ15" s="27">
        <v>4.0999999999999996</v>
      </c>
      <c r="CA15" s="12">
        <v>9</v>
      </c>
      <c r="CB15" s="12">
        <v>9.5</v>
      </c>
      <c r="CC15" s="12">
        <v>9</v>
      </c>
      <c r="CD15" s="12">
        <v>9.5</v>
      </c>
      <c r="CE15" s="12">
        <v>9.5</v>
      </c>
      <c r="CF15" s="12">
        <v>9</v>
      </c>
      <c r="CG15" s="12">
        <v>9</v>
      </c>
      <c r="CH15" s="12">
        <v>112.75</v>
      </c>
      <c r="CI15" s="11">
        <v>580.4</v>
      </c>
      <c r="CJ15" s="28">
        <v>1</v>
      </c>
      <c r="CK15" s="29">
        <v>2</v>
      </c>
      <c r="CL15" s="12">
        <v>1.95</v>
      </c>
      <c r="CM15" s="22">
        <v>2020</v>
      </c>
      <c r="CN15" s="22" t="s">
        <v>175</v>
      </c>
      <c r="CO15" s="22" t="s">
        <v>141</v>
      </c>
    </row>
    <row r="16" spans="1:93" x14ac:dyDescent="0.35">
      <c r="A16" s="22">
        <v>3</v>
      </c>
      <c r="B16" s="22" t="s">
        <v>17</v>
      </c>
      <c r="C16" s="22" t="s">
        <v>248</v>
      </c>
      <c r="D16" s="22">
        <v>27</v>
      </c>
      <c r="E16" s="6">
        <v>548.25</v>
      </c>
      <c r="F16" s="6">
        <v>34.1</v>
      </c>
      <c r="G16" s="27" t="s">
        <v>164</v>
      </c>
      <c r="H16" s="27">
        <v>3.4</v>
      </c>
      <c r="I16" s="11">
        <v>10</v>
      </c>
      <c r="J16" s="12">
        <v>9.5</v>
      </c>
      <c r="K16" s="11">
        <v>10</v>
      </c>
      <c r="L16" s="12">
        <v>9.5</v>
      </c>
      <c r="M16" s="12">
        <v>8.5</v>
      </c>
      <c r="N16" s="11">
        <v>10</v>
      </c>
      <c r="O16" s="12">
        <v>9.5</v>
      </c>
      <c r="P16" s="12">
        <v>98.6</v>
      </c>
      <c r="Q16" s="11">
        <v>98.6</v>
      </c>
      <c r="R16" s="28">
        <v>2</v>
      </c>
      <c r="S16" s="29">
        <v>2</v>
      </c>
      <c r="T16" s="12">
        <v>3.4</v>
      </c>
      <c r="U16" s="27" t="s">
        <v>137</v>
      </c>
      <c r="V16" s="27">
        <v>3.2</v>
      </c>
      <c r="W16" s="12">
        <v>9.5</v>
      </c>
      <c r="X16" s="12">
        <v>9.5</v>
      </c>
      <c r="Y16" s="12">
        <v>9.5</v>
      </c>
      <c r="Z16" s="11">
        <v>10</v>
      </c>
      <c r="AA16" s="12">
        <v>9.5</v>
      </c>
      <c r="AB16" s="12">
        <v>9.5</v>
      </c>
      <c r="AC16" s="12">
        <v>9</v>
      </c>
      <c r="AD16" s="12">
        <v>91.2</v>
      </c>
      <c r="AE16" s="11">
        <v>189.8</v>
      </c>
      <c r="AF16" s="28">
        <v>4</v>
      </c>
      <c r="AG16" s="29">
        <v>1</v>
      </c>
      <c r="AH16" s="12">
        <v>0</v>
      </c>
      <c r="AI16" s="27" t="s">
        <v>178</v>
      </c>
      <c r="AJ16" s="27">
        <v>3.6</v>
      </c>
      <c r="AK16" s="12">
        <v>9</v>
      </c>
      <c r="AL16" s="12">
        <v>8.5</v>
      </c>
      <c r="AM16" s="12">
        <v>8.5</v>
      </c>
      <c r="AN16" s="12">
        <v>8</v>
      </c>
      <c r="AO16" s="12">
        <v>8</v>
      </c>
      <c r="AP16" s="12">
        <v>9</v>
      </c>
      <c r="AQ16" s="12">
        <v>8.5</v>
      </c>
      <c r="AR16" s="12">
        <v>91.8</v>
      </c>
      <c r="AS16" s="11">
        <v>281.60000000000002</v>
      </c>
      <c r="AT16" s="28">
        <f>2</f>
        <v>2</v>
      </c>
      <c r="AU16" s="29">
        <v>1</v>
      </c>
      <c r="AV16" s="12">
        <v>0</v>
      </c>
      <c r="AW16" s="27" t="s">
        <v>240</v>
      </c>
      <c r="AX16" s="27">
        <v>3.5</v>
      </c>
      <c r="AY16" s="12">
        <v>7.5</v>
      </c>
      <c r="AZ16" s="12">
        <v>8.5</v>
      </c>
      <c r="BA16" s="12">
        <v>8</v>
      </c>
      <c r="BB16" s="12">
        <v>8</v>
      </c>
      <c r="BC16" s="12">
        <v>7.5</v>
      </c>
      <c r="BD16" s="12">
        <v>7.5</v>
      </c>
      <c r="BE16" s="12">
        <v>7</v>
      </c>
      <c r="BF16" s="12">
        <v>80.5</v>
      </c>
      <c r="BG16" s="11">
        <v>362.1</v>
      </c>
      <c r="BH16" s="28">
        <v>6</v>
      </c>
      <c r="BI16" s="29">
        <v>3</v>
      </c>
      <c r="BJ16" s="12">
        <v>15.9</v>
      </c>
      <c r="BK16" s="27" t="s">
        <v>174</v>
      </c>
      <c r="BL16" s="27">
        <v>3.7</v>
      </c>
      <c r="BM16" s="12">
        <v>8.5</v>
      </c>
      <c r="BN16" s="12">
        <v>9</v>
      </c>
      <c r="BO16" s="12">
        <v>9</v>
      </c>
      <c r="BP16" s="12">
        <v>8.5</v>
      </c>
      <c r="BQ16" s="12">
        <v>8.5</v>
      </c>
      <c r="BR16" s="12">
        <v>8.5</v>
      </c>
      <c r="BS16" s="12">
        <v>8.5</v>
      </c>
      <c r="BT16" s="12">
        <v>94.35</v>
      </c>
      <c r="BU16" s="11">
        <v>456.45</v>
      </c>
      <c r="BV16" s="28">
        <f>3</f>
        <v>3</v>
      </c>
      <c r="BW16" s="29">
        <v>3</v>
      </c>
      <c r="BX16" s="12">
        <v>23.3</v>
      </c>
      <c r="BY16" s="27" t="s">
        <v>234</v>
      </c>
      <c r="BZ16" s="27">
        <v>3.6</v>
      </c>
      <c r="CA16" s="12">
        <v>8</v>
      </c>
      <c r="CB16" s="12">
        <v>9</v>
      </c>
      <c r="CC16" s="12">
        <v>8.5</v>
      </c>
      <c r="CD16" s="12">
        <v>9</v>
      </c>
      <c r="CE16" s="12">
        <v>8</v>
      </c>
      <c r="CF16" s="12">
        <v>8.5</v>
      </c>
      <c r="CG16" s="12">
        <v>8.5</v>
      </c>
      <c r="CH16" s="12">
        <v>91.8</v>
      </c>
      <c r="CI16" s="11">
        <v>548.25</v>
      </c>
      <c r="CJ16" s="28">
        <v>3</v>
      </c>
      <c r="CK16" s="29">
        <v>3</v>
      </c>
      <c r="CL16" s="12">
        <v>34.1</v>
      </c>
      <c r="CM16" s="22">
        <v>2020</v>
      </c>
      <c r="CN16" s="22" t="s">
        <v>175</v>
      </c>
      <c r="CO16" s="22" t="s">
        <v>141</v>
      </c>
    </row>
    <row r="17" spans="1:93" x14ac:dyDescent="0.35">
      <c r="A17" s="22">
        <v>4</v>
      </c>
      <c r="B17" s="22" t="s">
        <v>45</v>
      </c>
      <c r="C17" s="22" t="s">
        <v>249</v>
      </c>
      <c r="D17" s="22">
        <v>27</v>
      </c>
      <c r="E17" s="6">
        <v>514.5</v>
      </c>
      <c r="F17" s="6">
        <v>67.849999999999994</v>
      </c>
      <c r="G17" s="27" t="s">
        <v>137</v>
      </c>
      <c r="H17" s="27">
        <v>3.2</v>
      </c>
      <c r="I17" s="12">
        <v>8</v>
      </c>
      <c r="J17" s="12">
        <v>7.5</v>
      </c>
      <c r="K17" s="12">
        <v>8</v>
      </c>
      <c r="L17" s="12">
        <v>8</v>
      </c>
      <c r="M17" s="12">
        <v>8</v>
      </c>
      <c r="N17" s="12">
        <v>7.5</v>
      </c>
      <c r="O17" s="12">
        <v>7.5</v>
      </c>
      <c r="P17" s="12">
        <v>75.2</v>
      </c>
      <c r="Q17" s="11">
        <v>75.2</v>
      </c>
      <c r="R17" s="28">
        <v>5</v>
      </c>
      <c r="S17" s="29">
        <v>5</v>
      </c>
      <c r="T17" s="12">
        <v>26.8</v>
      </c>
      <c r="U17" s="27" t="s">
        <v>164</v>
      </c>
      <c r="V17" s="27">
        <v>3.4</v>
      </c>
      <c r="W17" s="12">
        <v>9</v>
      </c>
      <c r="X17" s="12">
        <v>8.5</v>
      </c>
      <c r="Y17" s="12">
        <v>9</v>
      </c>
      <c r="Z17" s="12">
        <v>9</v>
      </c>
      <c r="AA17" s="12">
        <v>8.5</v>
      </c>
      <c r="AB17" s="12">
        <v>9</v>
      </c>
      <c r="AC17" s="12">
        <v>9</v>
      </c>
      <c r="AD17" s="12">
        <v>91.8</v>
      </c>
      <c r="AE17" s="11">
        <v>167</v>
      </c>
      <c r="AF17" s="28">
        <f>2</f>
        <v>2</v>
      </c>
      <c r="AG17" s="29">
        <v>4</v>
      </c>
      <c r="AH17" s="12">
        <v>22.8</v>
      </c>
      <c r="AI17" s="27" t="s">
        <v>240</v>
      </c>
      <c r="AJ17" s="27">
        <v>3.5</v>
      </c>
      <c r="AK17" s="12">
        <v>8.5</v>
      </c>
      <c r="AL17" s="12">
        <v>8.5</v>
      </c>
      <c r="AM17" s="12">
        <v>8</v>
      </c>
      <c r="AN17" s="12">
        <v>8</v>
      </c>
      <c r="AO17" s="12">
        <v>8.5</v>
      </c>
      <c r="AP17" s="12">
        <v>7.5</v>
      </c>
      <c r="AQ17" s="12">
        <v>8</v>
      </c>
      <c r="AR17" s="12">
        <v>85.75</v>
      </c>
      <c r="AS17" s="11">
        <v>252.75</v>
      </c>
      <c r="AT17" s="28">
        <v>6</v>
      </c>
      <c r="AU17" s="29">
        <v>4</v>
      </c>
      <c r="AV17" s="12">
        <v>28.85</v>
      </c>
      <c r="AW17" s="27" t="s">
        <v>234</v>
      </c>
      <c r="AX17" s="27">
        <v>3.6</v>
      </c>
      <c r="AY17" s="12">
        <v>6.5</v>
      </c>
      <c r="AZ17" s="12">
        <v>7.5</v>
      </c>
      <c r="BA17" s="12">
        <v>7.5</v>
      </c>
      <c r="BB17" s="12">
        <v>7.5</v>
      </c>
      <c r="BC17" s="12">
        <v>7</v>
      </c>
      <c r="BD17" s="12">
        <v>8</v>
      </c>
      <c r="BE17" s="12">
        <v>7.5</v>
      </c>
      <c r="BF17" s="12">
        <v>81</v>
      </c>
      <c r="BG17" s="11">
        <v>333.75</v>
      </c>
      <c r="BH17" s="28">
        <v>5</v>
      </c>
      <c r="BI17" s="29">
        <v>4</v>
      </c>
      <c r="BJ17" s="12">
        <v>44.25</v>
      </c>
      <c r="BK17" s="27" t="s">
        <v>174</v>
      </c>
      <c r="BL17" s="27">
        <v>3.7</v>
      </c>
      <c r="BM17" s="12">
        <v>9</v>
      </c>
      <c r="BN17" s="12">
        <v>8.5</v>
      </c>
      <c r="BO17" s="12">
        <v>8.5</v>
      </c>
      <c r="BP17" s="12">
        <v>8.5</v>
      </c>
      <c r="BQ17" s="12">
        <v>8.5</v>
      </c>
      <c r="BR17" s="12">
        <v>8</v>
      </c>
      <c r="BS17" s="12">
        <v>8.5</v>
      </c>
      <c r="BT17" s="27">
        <v>94.35</v>
      </c>
      <c r="BU17" s="11">
        <v>428.1</v>
      </c>
      <c r="BV17" s="28">
        <f>3</f>
        <v>3</v>
      </c>
      <c r="BW17" s="29">
        <v>4</v>
      </c>
      <c r="BX17" s="12">
        <v>51.65</v>
      </c>
      <c r="BY17" s="27" t="s">
        <v>236</v>
      </c>
      <c r="BZ17" s="27">
        <v>3.6</v>
      </c>
      <c r="CA17" s="12">
        <v>8</v>
      </c>
      <c r="CB17" s="12">
        <v>8</v>
      </c>
      <c r="CC17" s="12">
        <v>8</v>
      </c>
      <c r="CD17" s="12">
        <v>8</v>
      </c>
      <c r="CE17" s="12">
        <v>8</v>
      </c>
      <c r="CF17" s="12">
        <v>8</v>
      </c>
      <c r="CG17" s="12">
        <v>8</v>
      </c>
      <c r="CH17" s="12">
        <v>86.4</v>
      </c>
      <c r="CI17" s="11">
        <v>514.5</v>
      </c>
      <c r="CJ17" s="28">
        <f>5</f>
        <v>5</v>
      </c>
      <c r="CK17" s="29">
        <v>4</v>
      </c>
      <c r="CL17" s="12">
        <v>67.849999999999994</v>
      </c>
      <c r="CM17" s="22">
        <v>2020</v>
      </c>
      <c r="CN17" s="22" t="s">
        <v>175</v>
      </c>
      <c r="CO17" s="22" t="s">
        <v>141</v>
      </c>
    </row>
    <row r="18" spans="1:93" x14ac:dyDescent="0.35">
      <c r="A18" s="22">
        <v>5</v>
      </c>
      <c r="B18" s="22" t="s">
        <v>45</v>
      </c>
      <c r="C18" s="22" t="s">
        <v>250</v>
      </c>
      <c r="D18" s="22">
        <v>30</v>
      </c>
      <c r="E18" s="6">
        <v>495.85</v>
      </c>
      <c r="F18" s="6">
        <v>86.5</v>
      </c>
      <c r="G18" s="27" t="s">
        <v>137</v>
      </c>
      <c r="H18" s="27">
        <v>3.2</v>
      </c>
      <c r="I18" s="12">
        <v>7.5</v>
      </c>
      <c r="J18" s="12">
        <v>7</v>
      </c>
      <c r="K18" s="12">
        <v>7</v>
      </c>
      <c r="L18" s="12">
        <v>7.5</v>
      </c>
      <c r="M18" s="12">
        <v>7</v>
      </c>
      <c r="N18" s="12">
        <v>7.5</v>
      </c>
      <c r="O18" s="12">
        <v>7</v>
      </c>
      <c r="P18" s="12">
        <v>68.8</v>
      </c>
      <c r="Q18" s="11">
        <v>68.8</v>
      </c>
      <c r="R18" s="28">
        <f>7</f>
        <v>7</v>
      </c>
      <c r="S18" s="29">
        <f>7</f>
        <v>7</v>
      </c>
      <c r="T18" s="12">
        <v>33.200000000000003</v>
      </c>
      <c r="U18" s="27" t="s">
        <v>164</v>
      </c>
      <c r="V18" s="27">
        <v>3.4</v>
      </c>
      <c r="W18" s="12">
        <v>9</v>
      </c>
      <c r="X18" s="12">
        <v>9</v>
      </c>
      <c r="Y18" s="12">
        <v>9.5</v>
      </c>
      <c r="Z18" s="12">
        <v>9</v>
      </c>
      <c r="AA18" s="12">
        <v>9</v>
      </c>
      <c r="AB18" s="12">
        <v>9.5</v>
      </c>
      <c r="AC18" s="12">
        <v>9</v>
      </c>
      <c r="AD18" s="12">
        <v>91.8</v>
      </c>
      <c r="AE18" s="11">
        <v>160.6</v>
      </c>
      <c r="AF18" s="28">
        <f>2</f>
        <v>2</v>
      </c>
      <c r="AG18" s="29">
        <v>6</v>
      </c>
      <c r="AH18" s="12">
        <v>29.2</v>
      </c>
      <c r="AI18" s="27" t="s">
        <v>235</v>
      </c>
      <c r="AJ18" s="27">
        <v>3.6</v>
      </c>
      <c r="AK18" s="12">
        <v>8.5</v>
      </c>
      <c r="AL18" s="12">
        <v>9</v>
      </c>
      <c r="AM18" s="12">
        <v>8.5</v>
      </c>
      <c r="AN18" s="12">
        <v>8.5</v>
      </c>
      <c r="AO18" s="12">
        <v>8.5</v>
      </c>
      <c r="AP18" s="12">
        <v>8.5</v>
      </c>
      <c r="AQ18" s="12">
        <v>8.5</v>
      </c>
      <c r="AR18" s="12">
        <v>91.8</v>
      </c>
      <c r="AS18" s="11">
        <v>252.4</v>
      </c>
      <c r="AT18" s="28">
        <f>2</f>
        <v>2</v>
      </c>
      <c r="AU18" s="29">
        <v>5</v>
      </c>
      <c r="AV18" s="12">
        <v>29.2</v>
      </c>
      <c r="AW18" s="27" t="s">
        <v>234</v>
      </c>
      <c r="AX18" s="27">
        <v>3.6</v>
      </c>
      <c r="AY18" s="12">
        <v>7.5</v>
      </c>
      <c r="AZ18" s="12">
        <v>7.5</v>
      </c>
      <c r="BA18" s="12">
        <v>6.5</v>
      </c>
      <c r="BB18" s="12">
        <v>7</v>
      </c>
      <c r="BC18" s="12">
        <v>6</v>
      </c>
      <c r="BD18" s="12">
        <v>7</v>
      </c>
      <c r="BE18" s="12">
        <v>6.5</v>
      </c>
      <c r="BF18" s="12">
        <v>73.8</v>
      </c>
      <c r="BG18" s="11">
        <v>326.2</v>
      </c>
      <c r="BH18" s="28">
        <v>9</v>
      </c>
      <c r="BI18" s="29">
        <v>5</v>
      </c>
      <c r="BJ18" s="12">
        <v>51.8</v>
      </c>
      <c r="BK18" s="27" t="s">
        <v>174</v>
      </c>
      <c r="BL18" s="27">
        <v>3.7</v>
      </c>
      <c r="BM18" s="12">
        <v>8</v>
      </c>
      <c r="BN18" s="12">
        <v>7.5</v>
      </c>
      <c r="BO18" s="12">
        <v>7.5</v>
      </c>
      <c r="BP18" s="12">
        <v>7.5</v>
      </c>
      <c r="BQ18" s="12">
        <v>7.5</v>
      </c>
      <c r="BR18" s="12">
        <v>7</v>
      </c>
      <c r="BS18" s="12">
        <v>7</v>
      </c>
      <c r="BT18" s="12">
        <v>83.25</v>
      </c>
      <c r="BU18" s="11">
        <v>409.45</v>
      </c>
      <c r="BV18" s="28">
        <v>5</v>
      </c>
      <c r="BW18" s="29">
        <v>5</v>
      </c>
      <c r="BX18" s="12">
        <v>70.3</v>
      </c>
      <c r="BY18" s="27" t="s">
        <v>236</v>
      </c>
      <c r="BZ18" s="27">
        <v>3.6</v>
      </c>
      <c r="CA18" s="12">
        <v>8</v>
      </c>
      <c r="CB18" s="12">
        <v>8</v>
      </c>
      <c r="CC18" s="12">
        <v>8</v>
      </c>
      <c r="CD18" s="12">
        <v>8</v>
      </c>
      <c r="CE18" s="12">
        <v>8</v>
      </c>
      <c r="CF18" s="12">
        <v>7</v>
      </c>
      <c r="CG18" s="12">
        <v>7.5</v>
      </c>
      <c r="CH18" s="12">
        <v>86.4</v>
      </c>
      <c r="CI18" s="11">
        <v>495.85</v>
      </c>
      <c r="CJ18" s="28">
        <f>5</f>
        <v>5</v>
      </c>
      <c r="CK18" s="29">
        <v>5</v>
      </c>
      <c r="CL18" s="12">
        <v>86.5</v>
      </c>
      <c r="CM18" s="22">
        <v>2020</v>
      </c>
      <c r="CN18" s="22" t="s">
        <v>175</v>
      </c>
      <c r="CO18" s="22" t="s">
        <v>141</v>
      </c>
    </row>
    <row r="19" spans="1:93" x14ac:dyDescent="0.35">
      <c r="A19" s="22">
        <v>6</v>
      </c>
      <c r="B19" s="22" t="s">
        <v>55</v>
      </c>
      <c r="C19" s="22" t="s">
        <v>244</v>
      </c>
      <c r="D19" s="22">
        <v>15</v>
      </c>
      <c r="E19" s="6">
        <v>461.7</v>
      </c>
      <c r="F19" s="6">
        <v>120.65</v>
      </c>
      <c r="G19" s="27" t="s">
        <v>137</v>
      </c>
      <c r="H19" s="27">
        <v>3.2</v>
      </c>
      <c r="I19" s="12">
        <v>8.5</v>
      </c>
      <c r="J19" s="12">
        <v>8.5</v>
      </c>
      <c r="K19" s="12">
        <v>9</v>
      </c>
      <c r="L19" s="12">
        <v>8.5</v>
      </c>
      <c r="M19" s="12">
        <v>9</v>
      </c>
      <c r="N19" s="12">
        <v>9.5</v>
      </c>
      <c r="O19" s="12">
        <v>8.5</v>
      </c>
      <c r="P19" s="12">
        <v>83.2</v>
      </c>
      <c r="Q19" s="11">
        <v>83.2</v>
      </c>
      <c r="R19" s="28">
        <v>4</v>
      </c>
      <c r="S19" s="29">
        <v>4</v>
      </c>
      <c r="T19" s="12">
        <v>18.8</v>
      </c>
      <c r="U19" s="27" t="s">
        <v>139</v>
      </c>
      <c r="V19" s="27">
        <v>3.3</v>
      </c>
      <c r="W19" s="12">
        <v>8.5</v>
      </c>
      <c r="X19" s="12">
        <v>8</v>
      </c>
      <c r="Y19" s="12">
        <v>8</v>
      </c>
      <c r="Z19" s="12">
        <v>8</v>
      </c>
      <c r="AA19" s="12">
        <v>7.5</v>
      </c>
      <c r="AB19" s="12">
        <v>7.5</v>
      </c>
      <c r="AC19" s="12">
        <v>8</v>
      </c>
      <c r="AD19" s="12">
        <v>79.2</v>
      </c>
      <c r="AE19" s="11">
        <v>162.4</v>
      </c>
      <c r="AF19" s="28">
        <f>7</f>
        <v>7</v>
      </c>
      <c r="AG19" s="29">
        <v>5</v>
      </c>
      <c r="AH19" s="12">
        <v>27.4</v>
      </c>
      <c r="AI19" s="27" t="s">
        <v>235</v>
      </c>
      <c r="AJ19" s="27">
        <v>3.6</v>
      </c>
      <c r="AK19" s="12">
        <v>8.5</v>
      </c>
      <c r="AL19" s="12">
        <v>9</v>
      </c>
      <c r="AM19" s="12">
        <v>8</v>
      </c>
      <c r="AN19" s="12">
        <v>8.5</v>
      </c>
      <c r="AO19" s="12">
        <v>8</v>
      </c>
      <c r="AP19" s="12">
        <v>8</v>
      </c>
      <c r="AQ19" s="12">
        <v>7.5</v>
      </c>
      <c r="AR19" s="12">
        <v>88.2</v>
      </c>
      <c r="AS19" s="11">
        <v>250.6</v>
      </c>
      <c r="AT19" s="28">
        <v>5</v>
      </c>
      <c r="AU19" s="29">
        <v>6</v>
      </c>
      <c r="AV19" s="12">
        <v>31</v>
      </c>
      <c r="AW19" s="27" t="s">
        <v>164</v>
      </c>
      <c r="AX19" s="27">
        <v>3.4</v>
      </c>
      <c r="AY19" s="12">
        <v>5.5</v>
      </c>
      <c r="AZ19" s="12">
        <v>5.5</v>
      </c>
      <c r="BA19" s="12">
        <v>5.5</v>
      </c>
      <c r="BB19" s="12">
        <v>5.5</v>
      </c>
      <c r="BC19" s="12">
        <v>5.5</v>
      </c>
      <c r="BD19" s="12">
        <v>5.5</v>
      </c>
      <c r="BE19" s="12">
        <v>5.5</v>
      </c>
      <c r="BF19" s="12">
        <v>56.1</v>
      </c>
      <c r="BG19" s="11">
        <v>306.7</v>
      </c>
      <c r="BH19" s="28">
        <v>11</v>
      </c>
      <c r="BI19" s="29">
        <v>7</v>
      </c>
      <c r="BJ19" s="12">
        <v>71.3</v>
      </c>
      <c r="BK19" s="27" t="s">
        <v>7</v>
      </c>
      <c r="BL19" s="27">
        <v>3</v>
      </c>
      <c r="BM19" s="12">
        <v>9</v>
      </c>
      <c r="BN19" s="12">
        <v>9</v>
      </c>
      <c r="BO19" s="12">
        <v>8</v>
      </c>
      <c r="BP19" s="12">
        <v>8</v>
      </c>
      <c r="BQ19" s="12">
        <v>8</v>
      </c>
      <c r="BR19" s="12">
        <v>8.5</v>
      </c>
      <c r="BS19" s="12">
        <v>8.5</v>
      </c>
      <c r="BT19" s="12">
        <v>75</v>
      </c>
      <c r="BU19" s="11">
        <v>381.7</v>
      </c>
      <c r="BV19" s="28">
        <v>6</v>
      </c>
      <c r="BW19" s="29">
        <v>6</v>
      </c>
      <c r="BX19" s="12">
        <v>98</v>
      </c>
      <c r="BY19" s="27" t="s">
        <v>140</v>
      </c>
      <c r="BZ19" s="27">
        <v>3.2</v>
      </c>
      <c r="CA19" s="12">
        <v>8.5</v>
      </c>
      <c r="CB19" s="12">
        <v>8.5</v>
      </c>
      <c r="CC19" s="12">
        <v>8.5</v>
      </c>
      <c r="CD19" s="12">
        <v>8</v>
      </c>
      <c r="CE19" s="12">
        <v>8.5</v>
      </c>
      <c r="CF19" s="12">
        <v>8</v>
      </c>
      <c r="CG19" s="12">
        <v>8</v>
      </c>
      <c r="CH19" s="12">
        <v>80</v>
      </c>
      <c r="CI19" s="11">
        <v>461.7</v>
      </c>
      <c r="CJ19" s="28">
        <v>8</v>
      </c>
      <c r="CK19" s="29">
        <v>6</v>
      </c>
      <c r="CL19" s="12">
        <v>120.65</v>
      </c>
      <c r="CM19" s="22">
        <v>2020</v>
      </c>
      <c r="CN19" s="22" t="s">
        <v>175</v>
      </c>
      <c r="CO19" s="22" t="s">
        <v>141</v>
      </c>
    </row>
    <row r="20" spans="1:93" x14ac:dyDescent="0.35">
      <c r="A20" s="22">
        <v>7</v>
      </c>
      <c r="B20" s="22" t="s">
        <v>151</v>
      </c>
      <c r="C20" s="22" t="s">
        <v>237</v>
      </c>
      <c r="D20" s="22">
        <v>14</v>
      </c>
      <c r="E20" s="6">
        <v>431.95</v>
      </c>
      <c r="F20" s="6">
        <v>15.4</v>
      </c>
      <c r="G20" s="27" t="s">
        <v>137</v>
      </c>
      <c r="H20" s="27">
        <v>3.2</v>
      </c>
      <c r="I20" s="12">
        <v>7.5</v>
      </c>
      <c r="J20" s="12">
        <v>7.5</v>
      </c>
      <c r="K20" s="12">
        <v>7.5</v>
      </c>
      <c r="L20" s="12">
        <v>7</v>
      </c>
      <c r="M20" s="12">
        <v>7.5</v>
      </c>
      <c r="N20" s="12">
        <v>7.5</v>
      </c>
      <c r="O20" s="12">
        <v>7.5</v>
      </c>
      <c r="P20" s="12">
        <v>72</v>
      </c>
      <c r="Q20" s="11">
        <v>72</v>
      </c>
      <c r="R20" s="28">
        <v>6</v>
      </c>
      <c r="S20" s="29">
        <v>6</v>
      </c>
      <c r="T20" s="12">
        <v>30</v>
      </c>
      <c r="U20" s="27" t="s">
        <v>234</v>
      </c>
      <c r="V20" s="27">
        <v>3.6</v>
      </c>
      <c r="W20" s="12">
        <v>8.5</v>
      </c>
      <c r="X20" s="12">
        <v>8.5</v>
      </c>
      <c r="Y20" s="12">
        <v>8</v>
      </c>
      <c r="Z20" s="12">
        <v>8</v>
      </c>
      <c r="AA20" s="12">
        <v>7.5</v>
      </c>
      <c r="AB20" s="12">
        <v>8</v>
      </c>
      <c r="AC20" s="12">
        <v>8</v>
      </c>
      <c r="AD20" s="12">
        <v>86.4</v>
      </c>
      <c r="AE20" s="11">
        <v>158.4</v>
      </c>
      <c r="AF20" s="28">
        <v>5</v>
      </c>
      <c r="AG20" s="29">
        <v>7</v>
      </c>
      <c r="AH20" s="12">
        <v>31.4</v>
      </c>
      <c r="AI20" s="27" t="s">
        <v>174</v>
      </c>
      <c r="AJ20" s="27">
        <v>3.7</v>
      </c>
      <c r="AK20" s="12">
        <v>7</v>
      </c>
      <c r="AL20" s="12">
        <v>6</v>
      </c>
      <c r="AM20" s="12">
        <v>6.5</v>
      </c>
      <c r="AN20" s="12">
        <v>7</v>
      </c>
      <c r="AO20" s="12">
        <v>7</v>
      </c>
      <c r="AP20" s="12">
        <v>6.5</v>
      </c>
      <c r="AQ20" s="12">
        <v>7</v>
      </c>
      <c r="AR20" s="12">
        <v>75.849999999999994</v>
      </c>
      <c r="AS20" s="11">
        <v>234.25</v>
      </c>
      <c r="AT20" s="28">
        <v>7</v>
      </c>
      <c r="AU20" s="29">
        <v>7</v>
      </c>
      <c r="AV20" s="12">
        <v>47.35</v>
      </c>
      <c r="AW20" s="27" t="s">
        <v>235</v>
      </c>
      <c r="AX20" s="27">
        <v>3.6</v>
      </c>
      <c r="AY20" s="12">
        <v>8</v>
      </c>
      <c r="AZ20" s="12">
        <v>8</v>
      </c>
      <c r="BA20" s="12">
        <v>8</v>
      </c>
      <c r="BB20" s="12">
        <v>7.5</v>
      </c>
      <c r="BC20" s="12">
        <v>8</v>
      </c>
      <c r="BD20" s="12">
        <v>8</v>
      </c>
      <c r="BE20" s="12">
        <v>8</v>
      </c>
      <c r="BF20" s="12">
        <v>86.4</v>
      </c>
      <c r="BG20" s="11">
        <v>320.64999999999998</v>
      </c>
      <c r="BH20" s="28">
        <v>4</v>
      </c>
      <c r="BI20" s="29">
        <v>6</v>
      </c>
      <c r="BJ20" s="12">
        <v>57.35</v>
      </c>
      <c r="BK20" s="27" t="s">
        <v>164</v>
      </c>
      <c r="BL20" s="27">
        <v>3.4</v>
      </c>
      <c r="BM20" s="12">
        <v>3.5</v>
      </c>
      <c r="BN20" s="12">
        <v>3.5</v>
      </c>
      <c r="BO20" s="12">
        <v>4</v>
      </c>
      <c r="BP20" s="12">
        <v>3.5</v>
      </c>
      <c r="BQ20" s="12">
        <v>4</v>
      </c>
      <c r="BR20" s="12">
        <v>3.5</v>
      </c>
      <c r="BS20" s="12">
        <v>3.5</v>
      </c>
      <c r="BT20" s="12">
        <v>35.700000000000003</v>
      </c>
      <c r="BU20" s="11">
        <v>356.35</v>
      </c>
      <c r="BV20" s="28">
        <v>12</v>
      </c>
      <c r="BW20" s="29">
        <v>7</v>
      </c>
      <c r="BX20" s="12">
        <v>123.4</v>
      </c>
      <c r="BY20" s="27" t="s">
        <v>236</v>
      </c>
      <c r="BZ20" s="27">
        <v>3.6</v>
      </c>
      <c r="CA20" s="12">
        <v>7</v>
      </c>
      <c r="CB20" s="12">
        <v>7</v>
      </c>
      <c r="CC20" s="12">
        <v>7</v>
      </c>
      <c r="CD20" s="12">
        <v>6.5</v>
      </c>
      <c r="CE20" s="12">
        <v>7</v>
      </c>
      <c r="CF20" s="12">
        <v>7</v>
      </c>
      <c r="CG20" s="12">
        <v>7</v>
      </c>
      <c r="CH20" s="12">
        <v>75.599999999999994</v>
      </c>
      <c r="CI20" s="11">
        <v>431.95</v>
      </c>
      <c r="CJ20" s="28">
        <v>9</v>
      </c>
      <c r="CK20" s="29">
        <v>7</v>
      </c>
      <c r="CL20" s="12">
        <v>150.4</v>
      </c>
      <c r="CM20" s="22">
        <v>2020</v>
      </c>
      <c r="CN20" s="22" t="s">
        <v>175</v>
      </c>
      <c r="CO20" s="22" t="s">
        <v>141</v>
      </c>
    </row>
    <row r="21" spans="1:93" x14ac:dyDescent="0.35">
      <c r="A21" s="22">
        <v>8</v>
      </c>
      <c r="B21" s="22" t="s">
        <v>12</v>
      </c>
      <c r="C21" s="22" t="s">
        <v>239</v>
      </c>
      <c r="D21" s="22">
        <v>20</v>
      </c>
      <c r="E21" s="6">
        <v>430.35</v>
      </c>
      <c r="F21" s="6">
        <v>152</v>
      </c>
      <c r="G21" s="27" t="s">
        <v>137</v>
      </c>
      <c r="H21" s="27">
        <v>3.2</v>
      </c>
      <c r="I21" s="12">
        <v>5.5</v>
      </c>
      <c r="J21" s="12">
        <v>6.5</v>
      </c>
      <c r="K21" s="12">
        <v>6.5</v>
      </c>
      <c r="L21" s="12">
        <v>6</v>
      </c>
      <c r="M21" s="12">
        <v>6</v>
      </c>
      <c r="N21" s="12">
        <v>6</v>
      </c>
      <c r="O21" s="12">
        <v>6</v>
      </c>
      <c r="P21" s="12">
        <v>57.6</v>
      </c>
      <c r="Q21" s="11">
        <v>57.6</v>
      </c>
      <c r="R21" s="28">
        <v>12</v>
      </c>
      <c r="S21" s="29">
        <v>12</v>
      </c>
      <c r="T21" s="12">
        <v>44.4</v>
      </c>
      <c r="U21" s="27" t="s">
        <v>235</v>
      </c>
      <c r="V21" s="27">
        <v>3.6</v>
      </c>
      <c r="W21" s="12">
        <v>6</v>
      </c>
      <c r="X21" s="12">
        <v>5.5</v>
      </c>
      <c r="Y21" s="12">
        <v>5.5</v>
      </c>
      <c r="Z21" s="12">
        <v>6</v>
      </c>
      <c r="AA21" s="12">
        <v>5.5</v>
      </c>
      <c r="AB21" s="12">
        <v>6</v>
      </c>
      <c r="AC21" s="12">
        <v>5.5</v>
      </c>
      <c r="AD21" s="12">
        <v>61.2</v>
      </c>
      <c r="AE21" s="11">
        <v>118.8</v>
      </c>
      <c r="AF21" s="28">
        <v>10</v>
      </c>
      <c r="AG21" s="29">
        <v>12</v>
      </c>
      <c r="AH21" s="12">
        <v>71</v>
      </c>
      <c r="AI21" s="27" t="s">
        <v>139</v>
      </c>
      <c r="AJ21" s="27">
        <v>3.3</v>
      </c>
      <c r="AK21" s="12">
        <v>8</v>
      </c>
      <c r="AL21" s="12">
        <v>7.5</v>
      </c>
      <c r="AM21" s="12">
        <v>7.5</v>
      </c>
      <c r="AN21" s="12">
        <v>7.5</v>
      </c>
      <c r="AO21" s="12">
        <v>7</v>
      </c>
      <c r="AP21" s="12">
        <v>7.5</v>
      </c>
      <c r="AQ21" s="12">
        <v>7.5</v>
      </c>
      <c r="AR21" s="12">
        <v>74.25</v>
      </c>
      <c r="AS21" s="11">
        <v>193.05</v>
      </c>
      <c r="AT21" s="28">
        <v>8</v>
      </c>
      <c r="AU21" s="29">
        <v>8</v>
      </c>
      <c r="AV21" s="12">
        <v>88.55</v>
      </c>
      <c r="AW21" s="27" t="s">
        <v>164</v>
      </c>
      <c r="AX21" s="27">
        <v>3.4</v>
      </c>
      <c r="AY21" s="12">
        <v>7</v>
      </c>
      <c r="AZ21" s="12">
        <v>8</v>
      </c>
      <c r="BA21" s="12">
        <v>8</v>
      </c>
      <c r="BB21" s="12">
        <v>7.5</v>
      </c>
      <c r="BC21" s="12">
        <v>7.5</v>
      </c>
      <c r="BD21" s="12">
        <v>7.5</v>
      </c>
      <c r="BE21" s="12">
        <v>7</v>
      </c>
      <c r="BF21" s="12">
        <v>76.5</v>
      </c>
      <c r="BG21" s="11">
        <v>269.55</v>
      </c>
      <c r="BH21" s="28">
        <v>8</v>
      </c>
      <c r="BI21" s="29">
        <v>9</v>
      </c>
      <c r="BJ21" s="12">
        <v>108.45</v>
      </c>
      <c r="BK21" s="27" t="s">
        <v>236</v>
      </c>
      <c r="BL21" s="27">
        <v>3.6</v>
      </c>
      <c r="BM21" s="12">
        <v>7</v>
      </c>
      <c r="BN21" s="12">
        <v>7.5</v>
      </c>
      <c r="BO21" s="12">
        <v>7</v>
      </c>
      <c r="BP21" s="12">
        <v>6.5</v>
      </c>
      <c r="BQ21" s="12">
        <v>6.5</v>
      </c>
      <c r="BR21" s="12">
        <v>6.5</v>
      </c>
      <c r="BS21" s="12">
        <v>6.5</v>
      </c>
      <c r="BT21" s="12">
        <v>72</v>
      </c>
      <c r="BU21" s="11">
        <v>341.55</v>
      </c>
      <c r="BV21" s="28">
        <v>8</v>
      </c>
      <c r="BW21" s="29">
        <v>8</v>
      </c>
      <c r="BX21" s="12">
        <v>138.19999999999999</v>
      </c>
      <c r="BY21" s="27" t="s">
        <v>174</v>
      </c>
      <c r="BZ21" s="27">
        <v>3.7</v>
      </c>
      <c r="CA21" s="12">
        <v>7.5</v>
      </c>
      <c r="CB21" s="12">
        <v>9</v>
      </c>
      <c r="CC21" s="12">
        <v>9</v>
      </c>
      <c r="CD21" s="12">
        <v>8</v>
      </c>
      <c r="CE21" s="12">
        <v>8</v>
      </c>
      <c r="CF21" s="12">
        <v>8</v>
      </c>
      <c r="CG21" s="12">
        <v>8</v>
      </c>
      <c r="CH21" s="12">
        <v>88.8</v>
      </c>
      <c r="CI21" s="11">
        <v>430.35</v>
      </c>
      <c r="CJ21" s="28">
        <v>4</v>
      </c>
      <c r="CK21" s="29">
        <v>8</v>
      </c>
      <c r="CL21" s="12">
        <v>152</v>
      </c>
      <c r="CM21" s="22">
        <v>2020</v>
      </c>
      <c r="CN21" s="22" t="s">
        <v>175</v>
      </c>
      <c r="CO21" s="22" t="s">
        <v>141</v>
      </c>
    </row>
    <row r="22" spans="1:93" x14ac:dyDescent="0.35">
      <c r="A22" s="22">
        <v>9</v>
      </c>
      <c r="B22" s="22" t="s">
        <v>34</v>
      </c>
      <c r="C22" s="22" t="s">
        <v>251</v>
      </c>
      <c r="D22" s="22">
        <v>22</v>
      </c>
      <c r="E22" s="6">
        <v>407.9</v>
      </c>
      <c r="F22" s="6">
        <v>174.45</v>
      </c>
      <c r="G22" s="27" t="s">
        <v>137</v>
      </c>
      <c r="H22" s="27">
        <v>3.2</v>
      </c>
      <c r="I22" s="12">
        <v>7</v>
      </c>
      <c r="J22" s="12">
        <v>7</v>
      </c>
      <c r="K22" s="12">
        <v>7</v>
      </c>
      <c r="L22" s="12">
        <v>7.5</v>
      </c>
      <c r="M22" s="12">
        <v>7</v>
      </c>
      <c r="N22" s="12">
        <v>8</v>
      </c>
      <c r="O22" s="12">
        <v>7.5</v>
      </c>
      <c r="P22" s="12">
        <v>68.8</v>
      </c>
      <c r="Q22" s="11">
        <v>68.8</v>
      </c>
      <c r="R22" s="28">
        <f>7</f>
        <v>7</v>
      </c>
      <c r="S22" s="29">
        <f>7</f>
        <v>7</v>
      </c>
      <c r="T22" s="12">
        <v>33.200000000000003</v>
      </c>
      <c r="U22" s="27" t="s">
        <v>139</v>
      </c>
      <c r="V22" s="27">
        <v>3.3</v>
      </c>
      <c r="W22" s="12">
        <v>7.5</v>
      </c>
      <c r="X22" s="12">
        <v>7</v>
      </c>
      <c r="Y22" s="12">
        <v>7</v>
      </c>
      <c r="Z22" s="12">
        <v>7.5</v>
      </c>
      <c r="AA22" s="12">
        <v>7.5</v>
      </c>
      <c r="AB22" s="12">
        <v>7.5</v>
      </c>
      <c r="AC22" s="12">
        <v>7</v>
      </c>
      <c r="AD22" s="12">
        <v>72.599999999999994</v>
      </c>
      <c r="AE22" s="11">
        <v>141.4</v>
      </c>
      <c r="AF22" s="28">
        <v>9</v>
      </c>
      <c r="AG22" s="29">
        <v>8</v>
      </c>
      <c r="AH22" s="12">
        <v>48.4</v>
      </c>
      <c r="AI22" s="27" t="s">
        <v>252</v>
      </c>
      <c r="AJ22" s="27">
        <v>3.3</v>
      </c>
      <c r="AK22" s="12">
        <v>4</v>
      </c>
      <c r="AL22" s="12">
        <v>4</v>
      </c>
      <c r="AM22" s="12">
        <v>4</v>
      </c>
      <c r="AN22" s="12">
        <v>4.5</v>
      </c>
      <c r="AO22" s="12">
        <v>5.5</v>
      </c>
      <c r="AP22" s="12">
        <v>4</v>
      </c>
      <c r="AQ22" s="12">
        <v>4</v>
      </c>
      <c r="AR22" s="12">
        <v>39.6</v>
      </c>
      <c r="AS22" s="11">
        <v>181</v>
      </c>
      <c r="AT22" s="28">
        <v>12</v>
      </c>
      <c r="AU22" s="29">
        <v>11</v>
      </c>
      <c r="AV22" s="12">
        <v>100.6</v>
      </c>
      <c r="AW22" s="27" t="s">
        <v>174</v>
      </c>
      <c r="AX22" s="27">
        <v>3.7</v>
      </c>
      <c r="AY22" s="12">
        <v>8</v>
      </c>
      <c r="AZ22" s="12">
        <v>8.5</v>
      </c>
      <c r="BA22" s="12">
        <v>8</v>
      </c>
      <c r="BB22" s="12">
        <v>8</v>
      </c>
      <c r="BC22" s="12">
        <v>8</v>
      </c>
      <c r="BD22" s="12">
        <v>8</v>
      </c>
      <c r="BE22" s="12">
        <v>8</v>
      </c>
      <c r="BF22" s="12">
        <v>88.8</v>
      </c>
      <c r="BG22" s="11">
        <v>269.8</v>
      </c>
      <c r="BH22" s="28">
        <v>3</v>
      </c>
      <c r="BI22" s="29">
        <v>8</v>
      </c>
      <c r="BJ22" s="12">
        <v>108.2</v>
      </c>
      <c r="BK22" s="27" t="s">
        <v>164</v>
      </c>
      <c r="BL22" s="27">
        <v>3.4</v>
      </c>
      <c r="BM22" s="12">
        <v>7</v>
      </c>
      <c r="BN22" s="12">
        <v>6</v>
      </c>
      <c r="BO22" s="12">
        <v>7</v>
      </c>
      <c r="BP22" s="12">
        <v>6.5</v>
      </c>
      <c r="BQ22" s="12">
        <v>7</v>
      </c>
      <c r="BR22" s="12">
        <v>6.5</v>
      </c>
      <c r="BS22" s="12">
        <v>7</v>
      </c>
      <c r="BT22" s="12">
        <v>69.7</v>
      </c>
      <c r="BU22" s="11">
        <v>339.5</v>
      </c>
      <c r="BV22" s="28">
        <v>9</v>
      </c>
      <c r="BW22" s="29">
        <v>9</v>
      </c>
      <c r="BX22" s="12">
        <v>140.25</v>
      </c>
      <c r="BY22" s="27" t="s">
        <v>236</v>
      </c>
      <c r="BZ22" s="27">
        <v>3.6</v>
      </c>
      <c r="CA22" s="12">
        <v>6.5</v>
      </c>
      <c r="CB22" s="12">
        <v>6</v>
      </c>
      <c r="CC22" s="12">
        <v>6.5</v>
      </c>
      <c r="CD22" s="12">
        <v>6.5</v>
      </c>
      <c r="CE22" s="12">
        <v>7</v>
      </c>
      <c r="CF22" s="12">
        <v>6</v>
      </c>
      <c r="CG22" s="12">
        <v>6</v>
      </c>
      <c r="CH22" s="12">
        <v>68.400000000000006</v>
      </c>
      <c r="CI22" s="11">
        <v>407.9</v>
      </c>
      <c r="CJ22" s="28">
        <v>12</v>
      </c>
      <c r="CK22" s="29">
        <v>9</v>
      </c>
      <c r="CL22" s="12">
        <v>174.45</v>
      </c>
      <c r="CM22" s="22">
        <v>2020</v>
      </c>
      <c r="CN22" s="22" t="s">
        <v>175</v>
      </c>
      <c r="CO22" s="22" t="s">
        <v>141</v>
      </c>
    </row>
    <row r="23" spans="1:93" x14ac:dyDescent="0.35">
      <c r="A23" s="22">
        <v>10</v>
      </c>
      <c r="B23" s="22" t="s">
        <v>212</v>
      </c>
      <c r="C23" s="22" t="s">
        <v>253</v>
      </c>
      <c r="D23" s="22">
        <v>19</v>
      </c>
      <c r="E23" s="6">
        <v>393.85</v>
      </c>
      <c r="F23" s="6">
        <v>188.5</v>
      </c>
      <c r="G23" s="27" t="s">
        <v>137</v>
      </c>
      <c r="H23" s="27">
        <v>3.2</v>
      </c>
      <c r="I23" s="12">
        <v>6.5</v>
      </c>
      <c r="J23" s="12">
        <v>6.5</v>
      </c>
      <c r="K23" s="12">
        <v>6.5</v>
      </c>
      <c r="L23" s="12">
        <v>6.5</v>
      </c>
      <c r="M23" s="12">
        <v>6</v>
      </c>
      <c r="N23" s="12">
        <v>6</v>
      </c>
      <c r="O23" s="12">
        <v>6</v>
      </c>
      <c r="P23" s="12">
        <v>60.8</v>
      </c>
      <c r="Q23" s="11">
        <v>60.8</v>
      </c>
      <c r="R23" s="28">
        <v>11</v>
      </c>
      <c r="S23" s="29">
        <v>11</v>
      </c>
      <c r="T23" s="12">
        <v>41.2</v>
      </c>
      <c r="U23" s="27" t="s">
        <v>139</v>
      </c>
      <c r="V23" s="27">
        <v>3.3</v>
      </c>
      <c r="W23" s="12">
        <v>8</v>
      </c>
      <c r="X23" s="12">
        <v>8</v>
      </c>
      <c r="Y23" s="12">
        <v>8.5</v>
      </c>
      <c r="Z23" s="12">
        <v>7.5</v>
      </c>
      <c r="AA23" s="12">
        <v>8</v>
      </c>
      <c r="AB23" s="12">
        <v>8.5</v>
      </c>
      <c r="AC23" s="12">
        <v>8</v>
      </c>
      <c r="AD23" s="12">
        <v>79.2</v>
      </c>
      <c r="AE23" s="11">
        <v>140</v>
      </c>
      <c r="AF23" s="28">
        <f>7</f>
        <v>7</v>
      </c>
      <c r="AG23" s="29">
        <v>9</v>
      </c>
      <c r="AH23" s="12">
        <v>49.8</v>
      </c>
      <c r="AI23" s="27" t="s">
        <v>143</v>
      </c>
      <c r="AJ23" s="27">
        <v>3.3</v>
      </c>
      <c r="AK23" s="12">
        <v>4.5</v>
      </c>
      <c r="AL23" s="12">
        <v>4.5</v>
      </c>
      <c r="AM23" s="12">
        <v>5</v>
      </c>
      <c r="AN23" s="12">
        <v>4</v>
      </c>
      <c r="AO23" s="12">
        <v>5</v>
      </c>
      <c r="AP23" s="12">
        <v>5</v>
      </c>
      <c r="AQ23" s="12">
        <v>4.5</v>
      </c>
      <c r="AR23" s="12">
        <v>46.2</v>
      </c>
      <c r="AS23" s="11">
        <v>186.2</v>
      </c>
      <c r="AT23" s="28">
        <v>11</v>
      </c>
      <c r="AU23" s="29">
        <v>9</v>
      </c>
      <c r="AV23" s="12">
        <v>95.4</v>
      </c>
      <c r="AW23" s="27" t="s">
        <v>174</v>
      </c>
      <c r="AX23" s="27">
        <v>3.7</v>
      </c>
      <c r="AY23" s="12">
        <v>7</v>
      </c>
      <c r="AZ23" s="12">
        <v>7.5</v>
      </c>
      <c r="BA23" s="12">
        <v>7</v>
      </c>
      <c r="BB23" s="12">
        <v>7</v>
      </c>
      <c r="BC23" s="12">
        <v>7.5</v>
      </c>
      <c r="BD23" s="12">
        <v>7.5</v>
      </c>
      <c r="BE23" s="12">
        <v>7</v>
      </c>
      <c r="BF23" s="12">
        <v>79.55</v>
      </c>
      <c r="BG23" s="11">
        <v>265.75</v>
      </c>
      <c r="BH23" s="28">
        <v>7</v>
      </c>
      <c r="BI23" s="29">
        <v>10</v>
      </c>
      <c r="BJ23" s="12">
        <v>112.25</v>
      </c>
      <c r="BK23" s="27" t="s">
        <v>164</v>
      </c>
      <c r="BL23" s="27">
        <v>3.4</v>
      </c>
      <c r="BM23" s="12">
        <v>5</v>
      </c>
      <c r="BN23" s="12">
        <v>5.5</v>
      </c>
      <c r="BO23" s="12">
        <v>6</v>
      </c>
      <c r="BP23" s="12">
        <v>5.5</v>
      </c>
      <c r="BQ23" s="12">
        <v>5.5</v>
      </c>
      <c r="BR23" s="12">
        <v>6</v>
      </c>
      <c r="BS23" s="12">
        <v>5</v>
      </c>
      <c r="BT23" s="12">
        <v>56.1</v>
      </c>
      <c r="BU23" s="11">
        <v>321.85000000000002</v>
      </c>
      <c r="BV23" s="28">
        <v>11</v>
      </c>
      <c r="BW23" s="29">
        <v>10</v>
      </c>
      <c r="BX23" s="12">
        <v>157.9</v>
      </c>
      <c r="BY23" s="27" t="s">
        <v>140</v>
      </c>
      <c r="BZ23" s="27">
        <v>3.2</v>
      </c>
      <c r="CA23" s="12">
        <v>7.5</v>
      </c>
      <c r="CB23" s="12">
        <v>7.5</v>
      </c>
      <c r="CC23" s="12">
        <v>7</v>
      </c>
      <c r="CD23" s="12">
        <v>7.5</v>
      </c>
      <c r="CE23" s="12">
        <v>7.5</v>
      </c>
      <c r="CF23" s="12">
        <v>7.5</v>
      </c>
      <c r="CG23" s="12">
        <v>7.5</v>
      </c>
      <c r="CH23" s="12">
        <v>72</v>
      </c>
      <c r="CI23" s="11">
        <v>393.85</v>
      </c>
      <c r="CJ23" s="28">
        <v>11</v>
      </c>
      <c r="CK23" s="29">
        <v>10</v>
      </c>
      <c r="CL23" s="12">
        <v>188.5</v>
      </c>
      <c r="CM23" s="22">
        <v>2020</v>
      </c>
      <c r="CN23" s="22" t="s">
        <v>175</v>
      </c>
      <c r="CO23" s="22" t="s">
        <v>141</v>
      </c>
    </row>
    <row r="24" spans="1:93" x14ac:dyDescent="0.35">
      <c r="A24" s="22">
        <v>11</v>
      </c>
      <c r="B24" s="22" t="s">
        <v>34</v>
      </c>
      <c r="C24" s="22" t="s">
        <v>254</v>
      </c>
      <c r="D24" s="22">
        <v>24</v>
      </c>
      <c r="E24" s="6">
        <v>383.65</v>
      </c>
      <c r="F24" s="6">
        <v>198.7</v>
      </c>
      <c r="G24" s="27" t="s">
        <v>137</v>
      </c>
      <c r="H24" s="27">
        <v>3.2</v>
      </c>
      <c r="I24" s="12">
        <v>7</v>
      </c>
      <c r="J24" s="12">
        <v>7</v>
      </c>
      <c r="K24" s="12">
        <v>7</v>
      </c>
      <c r="L24" s="12">
        <v>7.5</v>
      </c>
      <c r="M24" s="12">
        <v>7</v>
      </c>
      <c r="N24" s="12">
        <v>7</v>
      </c>
      <c r="O24" s="12">
        <v>7</v>
      </c>
      <c r="P24" s="12">
        <v>67.2</v>
      </c>
      <c r="Q24" s="11">
        <v>67.2</v>
      </c>
      <c r="R24" s="28">
        <f>9</f>
        <v>9</v>
      </c>
      <c r="S24" s="29">
        <f>9</f>
        <v>9</v>
      </c>
      <c r="T24" s="12">
        <v>34.799999999999997</v>
      </c>
      <c r="U24" s="27" t="s">
        <v>235</v>
      </c>
      <c r="V24" s="27">
        <v>3.6</v>
      </c>
      <c r="W24" s="12">
        <v>6.5</v>
      </c>
      <c r="X24" s="12">
        <v>5.5</v>
      </c>
      <c r="Y24" s="12">
        <v>5.5</v>
      </c>
      <c r="Z24" s="12">
        <v>6</v>
      </c>
      <c r="AA24" s="12">
        <v>5.5</v>
      </c>
      <c r="AB24" s="12">
        <v>5.5</v>
      </c>
      <c r="AC24" s="12">
        <v>5</v>
      </c>
      <c r="AD24" s="12">
        <v>59.4</v>
      </c>
      <c r="AE24" s="11">
        <v>126.6</v>
      </c>
      <c r="AF24" s="28">
        <f>11</f>
        <v>11</v>
      </c>
      <c r="AG24" s="29">
        <f>10</f>
        <v>10</v>
      </c>
      <c r="AH24" s="12">
        <v>63.2</v>
      </c>
      <c r="AI24" s="27" t="s">
        <v>234</v>
      </c>
      <c r="AJ24" s="27">
        <v>3.6</v>
      </c>
      <c r="AK24" s="12">
        <v>4.5</v>
      </c>
      <c r="AL24" s="12">
        <v>4</v>
      </c>
      <c r="AM24" s="12">
        <v>4.5</v>
      </c>
      <c r="AN24" s="12">
        <v>5.5</v>
      </c>
      <c r="AO24" s="12">
        <v>4.5</v>
      </c>
      <c r="AP24" s="12">
        <v>4.5</v>
      </c>
      <c r="AQ24" s="12">
        <v>4.5</v>
      </c>
      <c r="AR24" s="12">
        <v>48.6</v>
      </c>
      <c r="AS24" s="11">
        <v>175.2</v>
      </c>
      <c r="AT24" s="28">
        <v>10</v>
      </c>
      <c r="AU24" s="29">
        <v>12</v>
      </c>
      <c r="AV24" s="12">
        <v>106.4</v>
      </c>
      <c r="AW24" s="27" t="s">
        <v>164</v>
      </c>
      <c r="AX24" s="27">
        <v>3.4</v>
      </c>
      <c r="AY24" s="12">
        <v>7</v>
      </c>
      <c r="AZ24" s="12">
        <v>7</v>
      </c>
      <c r="BA24" s="12">
        <v>7</v>
      </c>
      <c r="BB24" s="12">
        <v>7</v>
      </c>
      <c r="BC24" s="12">
        <v>5.5</v>
      </c>
      <c r="BD24" s="12">
        <v>6.5</v>
      </c>
      <c r="BE24" s="12">
        <v>6</v>
      </c>
      <c r="BF24" s="12">
        <v>69.7</v>
      </c>
      <c r="BG24" s="11">
        <v>244.9</v>
      </c>
      <c r="BH24" s="28">
        <v>10</v>
      </c>
      <c r="BI24" s="29">
        <v>11</v>
      </c>
      <c r="BJ24" s="12">
        <v>133.1</v>
      </c>
      <c r="BK24" s="27" t="s">
        <v>236</v>
      </c>
      <c r="BL24" s="27">
        <v>3.6</v>
      </c>
      <c r="BM24" s="12">
        <v>6.5</v>
      </c>
      <c r="BN24" s="12">
        <v>6.5</v>
      </c>
      <c r="BO24" s="12">
        <v>6.5</v>
      </c>
      <c r="BP24" s="12">
        <v>6</v>
      </c>
      <c r="BQ24" s="12">
        <v>6</v>
      </c>
      <c r="BR24" s="12">
        <v>6</v>
      </c>
      <c r="BS24" s="12">
        <v>5.5</v>
      </c>
      <c r="BT24" s="12">
        <v>66.599999999999994</v>
      </c>
      <c r="BU24" s="11">
        <v>311.5</v>
      </c>
      <c r="BV24" s="28">
        <v>10</v>
      </c>
      <c r="BW24" s="29">
        <v>11</v>
      </c>
      <c r="BX24" s="12">
        <v>168.25</v>
      </c>
      <c r="BY24" s="27" t="s">
        <v>174</v>
      </c>
      <c r="BZ24" s="27">
        <v>3.7</v>
      </c>
      <c r="CA24" s="12">
        <v>7</v>
      </c>
      <c r="CB24" s="12">
        <v>6.5</v>
      </c>
      <c r="CC24" s="12">
        <v>6.5</v>
      </c>
      <c r="CD24" s="12">
        <v>7</v>
      </c>
      <c r="CE24" s="12">
        <v>6.5</v>
      </c>
      <c r="CF24" s="12">
        <v>6.5</v>
      </c>
      <c r="CG24" s="12">
        <v>6.5</v>
      </c>
      <c r="CH24" s="12">
        <v>72.150000000000006</v>
      </c>
      <c r="CI24" s="11">
        <v>383.65</v>
      </c>
      <c r="CJ24" s="28">
        <v>10</v>
      </c>
      <c r="CK24" s="29">
        <v>11</v>
      </c>
      <c r="CL24" s="12">
        <v>198.7</v>
      </c>
      <c r="CM24" s="22">
        <v>2020</v>
      </c>
      <c r="CN24" s="22" t="s">
        <v>175</v>
      </c>
      <c r="CO24" s="22" t="s">
        <v>141</v>
      </c>
    </row>
    <row r="25" spans="1:93" x14ac:dyDescent="0.35">
      <c r="A25" s="22">
        <v>12</v>
      </c>
      <c r="B25" s="22" t="s">
        <v>18</v>
      </c>
      <c r="C25" s="22" t="s">
        <v>255</v>
      </c>
      <c r="D25" s="22">
        <v>24</v>
      </c>
      <c r="E25" s="6">
        <v>381.75</v>
      </c>
      <c r="F25" s="6">
        <v>200.6</v>
      </c>
      <c r="G25" s="27" t="s">
        <v>137</v>
      </c>
      <c r="H25" s="27">
        <v>3.2</v>
      </c>
      <c r="I25" s="12">
        <v>7</v>
      </c>
      <c r="J25" s="12">
        <v>7</v>
      </c>
      <c r="K25" s="12">
        <v>7</v>
      </c>
      <c r="L25" s="12">
        <v>7</v>
      </c>
      <c r="M25" s="12">
        <v>7</v>
      </c>
      <c r="N25" s="12">
        <v>7</v>
      </c>
      <c r="O25" s="12">
        <v>7</v>
      </c>
      <c r="P25" s="12">
        <v>67.2</v>
      </c>
      <c r="Q25" s="11">
        <v>67.2</v>
      </c>
      <c r="R25" s="28">
        <f>9</f>
        <v>9</v>
      </c>
      <c r="S25" s="29">
        <f>9</f>
        <v>9</v>
      </c>
      <c r="T25" s="12">
        <v>34.799999999999997</v>
      </c>
      <c r="U25" s="27" t="s">
        <v>234</v>
      </c>
      <c r="V25" s="27">
        <v>3.6</v>
      </c>
      <c r="W25" s="12">
        <v>5.5</v>
      </c>
      <c r="X25" s="12">
        <v>6</v>
      </c>
      <c r="Y25" s="12">
        <v>6</v>
      </c>
      <c r="Z25" s="12">
        <v>5.5</v>
      </c>
      <c r="AA25" s="12">
        <v>5</v>
      </c>
      <c r="AB25" s="12">
        <v>5</v>
      </c>
      <c r="AC25" s="12">
        <v>5.5</v>
      </c>
      <c r="AD25" s="12">
        <v>59.4</v>
      </c>
      <c r="AE25" s="11">
        <v>126.6</v>
      </c>
      <c r="AF25" s="28">
        <f>11</f>
        <v>11</v>
      </c>
      <c r="AG25" s="29">
        <f>10</f>
        <v>10</v>
      </c>
      <c r="AH25" s="12">
        <v>63.2</v>
      </c>
      <c r="AI25" s="27" t="s">
        <v>240</v>
      </c>
      <c r="AJ25" s="27">
        <v>3.5</v>
      </c>
      <c r="AK25" s="12">
        <v>6</v>
      </c>
      <c r="AL25" s="12">
        <v>6</v>
      </c>
      <c r="AM25" s="12">
        <v>5.5</v>
      </c>
      <c r="AN25" s="12">
        <v>6</v>
      </c>
      <c r="AO25" s="12">
        <v>5</v>
      </c>
      <c r="AP25" s="12">
        <v>5.5</v>
      </c>
      <c r="AQ25" s="12">
        <v>5.5</v>
      </c>
      <c r="AR25" s="12">
        <v>59.5</v>
      </c>
      <c r="AS25" s="11">
        <v>186.1</v>
      </c>
      <c r="AT25" s="28">
        <v>9</v>
      </c>
      <c r="AU25" s="29">
        <v>10</v>
      </c>
      <c r="AV25" s="12">
        <v>95.5</v>
      </c>
      <c r="AW25" s="27" t="s">
        <v>164</v>
      </c>
      <c r="AX25" s="27">
        <v>3.4</v>
      </c>
      <c r="AY25" s="12">
        <v>4</v>
      </c>
      <c r="AZ25" s="12">
        <v>4</v>
      </c>
      <c r="BA25" s="12">
        <v>4.5</v>
      </c>
      <c r="BB25" s="12">
        <v>4.5</v>
      </c>
      <c r="BC25" s="12">
        <v>5</v>
      </c>
      <c r="BD25" s="12">
        <v>4</v>
      </c>
      <c r="BE25" s="12">
        <v>4</v>
      </c>
      <c r="BF25" s="12">
        <v>42.5</v>
      </c>
      <c r="BG25" s="11">
        <v>228.6</v>
      </c>
      <c r="BH25" s="28">
        <v>12</v>
      </c>
      <c r="BI25" s="29">
        <v>12</v>
      </c>
      <c r="BJ25" s="12">
        <v>149.4</v>
      </c>
      <c r="BK25" s="27" t="s">
        <v>174</v>
      </c>
      <c r="BL25" s="27">
        <v>3.7</v>
      </c>
      <c r="BM25" s="12">
        <v>7</v>
      </c>
      <c r="BN25" s="12">
        <v>6</v>
      </c>
      <c r="BO25" s="12">
        <v>6.5</v>
      </c>
      <c r="BP25" s="12">
        <v>6.5</v>
      </c>
      <c r="BQ25" s="12">
        <v>6</v>
      </c>
      <c r="BR25" s="12">
        <v>7.5</v>
      </c>
      <c r="BS25" s="12">
        <v>6.5</v>
      </c>
      <c r="BT25" s="12">
        <v>72.150000000000006</v>
      </c>
      <c r="BU25" s="11">
        <v>300.75</v>
      </c>
      <c r="BV25" s="28">
        <v>7</v>
      </c>
      <c r="BW25" s="29">
        <v>12</v>
      </c>
      <c r="BX25" s="12">
        <v>179</v>
      </c>
      <c r="BY25" s="27" t="s">
        <v>236</v>
      </c>
      <c r="BZ25" s="27">
        <v>3.6</v>
      </c>
      <c r="CA25" s="12">
        <v>7.5</v>
      </c>
      <c r="CB25" s="12">
        <v>7</v>
      </c>
      <c r="CC25" s="12">
        <v>7.5</v>
      </c>
      <c r="CD25" s="12">
        <v>7.5</v>
      </c>
      <c r="CE25" s="12">
        <v>7.5</v>
      </c>
      <c r="CF25" s="12">
        <v>7</v>
      </c>
      <c r="CG25" s="12">
        <v>7.5</v>
      </c>
      <c r="CH25" s="12">
        <v>81</v>
      </c>
      <c r="CI25" s="11">
        <v>381.75</v>
      </c>
      <c r="CJ25" s="28">
        <v>7</v>
      </c>
      <c r="CK25" s="29">
        <v>12</v>
      </c>
      <c r="CL25" s="12">
        <v>200.6</v>
      </c>
      <c r="CM25" s="22">
        <v>2020</v>
      </c>
      <c r="CN25" s="22" t="s">
        <v>175</v>
      </c>
      <c r="CO25" s="22" t="s">
        <v>141</v>
      </c>
    </row>
    <row r="26" spans="1:93" x14ac:dyDescent="0.35">
      <c r="A26" s="22">
        <v>1</v>
      </c>
      <c r="B26" s="22" t="s">
        <v>3</v>
      </c>
      <c r="C26" s="22" t="s">
        <v>256</v>
      </c>
      <c r="D26" s="22">
        <v>20</v>
      </c>
      <c r="E26" s="6">
        <v>585.29999999999995</v>
      </c>
      <c r="F26" s="6">
        <v>0</v>
      </c>
      <c r="G26" s="27" t="s">
        <v>164</v>
      </c>
      <c r="H26" s="27">
        <v>3.4</v>
      </c>
      <c r="I26" s="11">
        <v>10</v>
      </c>
      <c r="J26" s="12">
        <v>9.5</v>
      </c>
      <c r="K26" s="12">
        <v>9.5</v>
      </c>
      <c r="L26" s="12">
        <v>9.5</v>
      </c>
      <c r="M26" s="12">
        <v>9.5</v>
      </c>
      <c r="N26" s="12">
        <v>9</v>
      </c>
      <c r="O26" s="11">
        <v>10</v>
      </c>
      <c r="P26" s="12">
        <v>96.9</v>
      </c>
      <c r="Q26" s="11">
        <v>96.9</v>
      </c>
      <c r="R26" s="28">
        <v>1</v>
      </c>
      <c r="S26" s="29">
        <v>1</v>
      </c>
      <c r="T26" s="12">
        <v>0</v>
      </c>
      <c r="U26" s="27" t="s">
        <v>173</v>
      </c>
      <c r="V26" s="27">
        <v>3.5</v>
      </c>
      <c r="W26" s="12">
        <v>8</v>
      </c>
      <c r="X26" s="12">
        <v>8</v>
      </c>
      <c r="Y26" s="12">
        <v>7.5</v>
      </c>
      <c r="Z26" s="12">
        <v>7.5</v>
      </c>
      <c r="AA26" s="12">
        <v>7.5</v>
      </c>
      <c r="AB26" s="12">
        <v>7.5</v>
      </c>
      <c r="AC26" s="12">
        <v>7.5</v>
      </c>
      <c r="AD26" s="12">
        <v>78.75</v>
      </c>
      <c r="AE26" s="11">
        <v>175.65</v>
      </c>
      <c r="AF26" s="28">
        <v>8</v>
      </c>
      <c r="AG26" s="29">
        <v>2</v>
      </c>
      <c r="AH26" s="12">
        <v>6.95</v>
      </c>
      <c r="AI26" s="27" t="s">
        <v>235</v>
      </c>
      <c r="AJ26" s="27">
        <v>3.6</v>
      </c>
      <c r="AK26" s="12">
        <v>9.5</v>
      </c>
      <c r="AL26" s="12">
        <v>9.5</v>
      </c>
      <c r="AM26" s="12">
        <v>9</v>
      </c>
      <c r="AN26" s="12">
        <v>9.5</v>
      </c>
      <c r="AO26" s="12">
        <v>9.5</v>
      </c>
      <c r="AP26" s="12">
        <v>9</v>
      </c>
      <c r="AQ26" s="12">
        <v>9.5</v>
      </c>
      <c r="AR26" s="12">
        <v>102.6</v>
      </c>
      <c r="AS26" s="11">
        <v>278.25</v>
      </c>
      <c r="AT26" s="28">
        <v>1</v>
      </c>
      <c r="AU26" s="29">
        <v>1</v>
      </c>
      <c r="AV26" s="12">
        <v>0</v>
      </c>
      <c r="AW26" s="27" t="s">
        <v>234</v>
      </c>
      <c r="AX26" s="27">
        <v>3.6</v>
      </c>
      <c r="AY26" s="12">
        <v>9</v>
      </c>
      <c r="AZ26" s="12">
        <v>8.5</v>
      </c>
      <c r="BA26" s="12">
        <v>8.5</v>
      </c>
      <c r="BB26" s="12">
        <v>9</v>
      </c>
      <c r="BC26" s="12">
        <v>8.5</v>
      </c>
      <c r="BD26" s="12">
        <v>8.5</v>
      </c>
      <c r="BE26" s="12">
        <v>9</v>
      </c>
      <c r="BF26" s="12">
        <v>93.6</v>
      </c>
      <c r="BG26" s="11">
        <v>371.85</v>
      </c>
      <c r="BH26" s="28">
        <v>4</v>
      </c>
      <c r="BI26" s="29">
        <v>1</v>
      </c>
      <c r="BJ26" s="12">
        <v>0</v>
      </c>
      <c r="BK26" s="27" t="s">
        <v>174</v>
      </c>
      <c r="BL26" s="27">
        <v>3.7</v>
      </c>
      <c r="BM26" s="12">
        <v>9.5</v>
      </c>
      <c r="BN26" s="12">
        <v>9.5</v>
      </c>
      <c r="BO26" s="12">
        <v>9.5</v>
      </c>
      <c r="BP26" s="12">
        <v>9</v>
      </c>
      <c r="BQ26" s="12">
        <v>9.5</v>
      </c>
      <c r="BR26" s="12">
        <v>9</v>
      </c>
      <c r="BS26" s="12">
        <v>9.5</v>
      </c>
      <c r="BT26" s="12">
        <v>105.45</v>
      </c>
      <c r="BU26" s="11">
        <v>477.3</v>
      </c>
      <c r="BV26" s="28">
        <v>1</v>
      </c>
      <c r="BW26" s="29">
        <v>1</v>
      </c>
      <c r="BX26" s="12">
        <v>0</v>
      </c>
      <c r="BY26" s="27" t="s">
        <v>236</v>
      </c>
      <c r="BZ26" s="27">
        <v>3.6</v>
      </c>
      <c r="CA26" s="11">
        <v>10</v>
      </c>
      <c r="CB26" s="12">
        <v>9.5</v>
      </c>
      <c r="CC26" s="11">
        <v>10</v>
      </c>
      <c r="CD26" s="11">
        <v>10</v>
      </c>
      <c r="CE26" s="12">
        <v>9.5</v>
      </c>
      <c r="CF26" s="11">
        <v>10</v>
      </c>
      <c r="CG26" s="11">
        <v>10</v>
      </c>
      <c r="CH26" s="12">
        <v>108</v>
      </c>
      <c r="CI26" s="11">
        <v>585.29999999999995</v>
      </c>
      <c r="CJ26" s="28">
        <v>1</v>
      </c>
      <c r="CK26" s="29">
        <v>1</v>
      </c>
      <c r="CL26" s="12">
        <v>0</v>
      </c>
      <c r="CM26" s="22">
        <v>2016</v>
      </c>
      <c r="CN26" s="22" t="s">
        <v>175</v>
      </c>
      <c r="CO26" s="22" t="s">
        <v>141</v>
      </c>
    </row>
    <row r="27" spans="1:93" x14ac:dyDescent="0.35">
      <c r="A27" s="22">
        <v>2</v>
      </c>
      <c r="B27" s="22" t="s">
        <v>18</v>
      </c>
      <c r="C27" s="22" t="s">
        <v>257</v>
      </c>
      <c r="D27" s="22">
        <v>24</v>
      </c>
      <c r="E27" s="6">
        <v>532.70000000000005</v>
      </c>
      <c r="F27" s="6">
        <v>52.6</v>
      </c>
      <c r="G27" s="27" t="s">
        <v>139</v>
      </c>
      <c r="H27" s="27">
        <v>3.3</v>
      </c>
      <c r="I27" s="12">
        <v>8.5</v>
      </c>
      <c r="J27" s="12">
        <v>8</v>
      </c>
      <c r="K27" s="12">
        <v>8</v>
      </c>
      <c r="L27" s="12">
        <v>8.5</v>
      </c>
      <c r="M27" s="12">
        <v>8.5</v>
      </c>
      <c r="N27" s="12">
        <v>8.5</v>
      </c>
      <c r="O27" s="12">
        <v>8.5</v>
      </c>
      <c r="P27" s="12">
        <v>84.15</v>
      </c>
      <c r="Q27" s="11">
        <v>84.15</v>
      </c>
      <c r="R27" s="28">
        <v>6</v>
      </c>
      <c r="S27" s="29">
        <v>6</v>
      </c>
      <c r="T27" s="12">
        <v>12.75</v>
      </c>
      <c r="U27" s="27" t="s">
        <v>137</v>
      </c>
      <c r="V27" s="27">
        <v>3.2</v>
      </c>
      <c r="W27" s="12">
        <v>8.5</v>
      </c>
      <c r="X27" s="12">
        <v>9</v>
      </c>
      <c r="Y27" s="12">
        <v>8</v>
      </c>
      <c r="Z27" s="12">
        <v>9</v>
      </c>
      <c r="AA27" s="12">
        <v>8.5</v>
      </c>
      <c r="AB27" s="12">
        <v>8.5</v>
      </c>
      <c r="AC27" s="12">
        <v>8.5</v>
      </c>
      <c r="AD27" s="12">
        <v>81.599999999999994</v>
      </c>
      <c r="AE27" s="11">
        <v>165.75</v>
      </c>
      <c r="AF27" s="28">
        <f>6</f>
        <v>6</v>
      </c>
      <c r="AG27" s="29">
        <v>5</v>
      </c>
      <c r="AH27" s="12">
        <v>16.850000000000001</v>
      </c>
      <c r="AI27" s="27" t="s">
        <v>143</v>
      </c>
      <c r="AJ27" s="27">
        <v>3.3</v>
      </c>
      <c r="AK27" s="12">
        <v>8</v>
      </c>
      <c r="AL27" s="12">
        <v>8</v>
      </c>
      <c r="AM27" s="12">
        <v>9</v>
      </c>
      <c r="AN27" s="12">
        <v>9</v>
      </c>
      <c r="AO27" s="12">
        <v>8.5</v>
      </c>
      <c r="AP27" s="12">
        <v>8</v>
      </c>
      <c r="AQ27" s="12">
        <v>8.5</v>
      </c>
      <c r="AR27" s="12">
        <v>82.5</v>
      </c>
      <c r="AS27" s="11">
        <v>248.25</v>
      </c>
      <c r="AT27" s="28">
        <v>7</v>
      </c>
      <c r="AU27" s="29">
        <v>5</v>
      </c>
      <c r="AV27" s="12">
        <v>30</v>
      </c>
      <c r="AW27" s="27" t="s">
        <v>174</v>
      </c>
      <c r="AX27" s="27">
        <v>3.7</v>
      </c>
      <c r="AY27" s="12">
        <v>8.5</v>
      </c>
      <c r="AZ27" s="12">
        <v>9</v>
      </c>
      <c r="BA27" s="12">
        <v>9</v>
      </c>
      <c r="BB27" s="12">
        <v>9</v>
      </c>
      <c r="BC27" s="12">
        <v>8.5</v>
      </c>
      <c r="BD27" s="12">
        <v>8.5</v>
      </c>
      <c r="BE27" s="12">
        <v>9</v>
      </c>
      <c r="BF27" s="12">
        <v>98.05</v>
      </c>
      <c r="BG27" s="11">
        <v>346.3</v>
      </c>
      <c r="BH27" s="28">
        <v>2</v>
      </c>
      <c r="BI27" s="29">
        <v>4</v>
      </c>
      <c r="BJ27" s="12">
        <v>25.55</v>
      </c>
      <c r="BK27" s="27" t="s">
        <v>164</v>
      </c>
      <c r="BL27" s="27">
        <v>3.4</v>
      </c>
      <c r="BM27" s="12">
        <v>9.5</v>
      </c>
      <c r="BN27" s="12">
        <v>9.5</v>
      </c>
      <c r="BO27" s="12">
        <v>9</v>
      </c>
      <c r="BP27" s="12">
        <v>9</v>
      </c>
      <c r="BQ27" s="12">
        <v>9</v>
      </c>
      <c r="BR27" s="12">
        <v>9.5</v>
      </c>
      <c r="BS27" s="12">
        <v>9.5</v>
      </c>
      <c r="BT27" s="12">
        <v>95.2</v>
      </c>
      <c r="BU27" s="11">
        <v>441.5</v>
      </c>
      <c r="BV27" s="28">
        <v>3</v>
      </c>
      <c r="BW27" s="29">
        <v>3</v>
      </c>
      <c r="BX27" s="12">
        <v>35.799999999999997</v>
      </c>
      <c r="BY27" s="27" t="s">
        <v>177</v>
      </c>
      <c r="BZ27" s="27">
        <v>3.8</v>
      </c>
      <c r="CA27" s="12">
        <v>7.5</v>
      </c>
      <c r="CB27" s="12">
        <v>8</v>
      </c>
      <c r="CC27" s="12">
        <v>8</v>
      </c>
      <c r="CD27" s="12">
        <v>8</v>
      </c>
      <c r="CE27" s="12">
        <v>8</v>
      </c>
      <c r="CF27" s="12">
        <v>7.5</v>
      </c>
      <c r="CG27" s="12">
        <v>8.5</v>
      </c>
      <c r="CH27" s="12">
        <v>91.2</v>
      </c>
      <c r="CI27" s="11">
        <v>532.70000000000005</v>
      </c>
      <c r="CJ27" s="28">
        <v>4</v>
      </c>
      <c r="CK27" s="29">
        <v>2</v>
      </c>
      <c r="CL27" s="12">
        <v>52.6</v>
      </c>
      <c r="CM27" s="22">
        <v>2016</v>
      </c>
      <c r="CN27" s="22" t="s">
        <v>175</v>
      </c>
      <c r="CO27" s="22" t="s">
        <v>141</v>
      </c>
    </row>
    <row r="28" spans="1:93" x14ac:dyDescent="0.35">
      <c r="A28" s="22">
        <v>3</v>
      </c>
      <c r="B28" s="22" t="s">
        <v>34</v>
      </c>
      <c r="C28" s="22" t="s">
        <v>258</v>
      </c>
      <c r="D28" s="22">
        <v>27</v>
      </c>
      <c r="E28" s="6">
        <v>525.25</v>
      </c>
      <c r="F28" s="6">
        <v>60.05</v>
      </c>
      <c r="G28" s="27" t="s">
        <v>235</v>
      </c>
      <c r="H28" s="27">
        <v>3.6</v>
      </c>
      <c r="I28" s="12">
        <v>8.5</v>
      </c>
      <c r="J28" s="12">
        <v>8</v>
      </c>
      <c r="K28" s="12">
        <v>8.5</v>
      </c>
      <c r="L28" s="12">
        <v>7.5</v>
      </c>
      <c r="M28" s="12">
        <v>8</v>
      </c>
      <c r="N28" s="12">
        <v>8</v>
      </c>
      <c r="O28" s="12">
        <v>8.5</v>
      </c>
      <c r="P28" s="12">
        <v>88.2</v>
      </c>
      <c r="Q28" s="11">
        <v>88.2</v>
      </c>
      <c r="R28" s="28">
        <v>5</v>
      </c>
      <c r="S28" s="29">
        <v>5</v>
      </c>
      <c r="T28" s="12">
        <v>8.6999999999999993</v>
      </c>
      <c r="U28" s="27" t="s">
        <v>137</v>
      </c>
      <c r="V28" s="27">
        <v>3.2</v>
      </c>
      <c r="W28" s="11">
        <v>10</v>
      </c>
      <c r="X28" s="12">
        <v>9.5</v>
      </c>
      <c r="Y28" s="12">
        <v>9.5</v>
      </c>
      <c r="Z28" s="11">
        <v>10</v>
      </c>
      <c r="AA28" s="12">
        <v>9</v>
      </c>
      <c r="AB28" s="11">
        <v>10</v>
      </c>
      <c r="AC28" s="11">
        <v>10</v>
      </c>
      <c r="AD28" s="12">
        <v>94.4</v>
      </c>
      <c r="AE28" s="11">
        <v>182.6</v>
      </c>
      <c r="AF28" s="28">
        <v>1</v>
      </c>
      <c r="AG28" s="29">
        <v>1</v>
      </c>
      <c r="AH28" s="12">
        <v>0</v>
      </c>
      <c r="AI28" s="27" t="s">
        <v>164</v>
      </c>
      <c r="AJ28" s="27">
        <v>3.4</v>
      </c>
      <c r="AK28" s="12">
        <v>8.5</v>
      </c>
      <c r="AL28" s="12">
        <v>8.5</v>
      </c>
      <c r="AM28" s="12">
        <v>7.5</v>
      </c>
      <c r="AN28" s="12">
        <v>8</v>
      </c>
      <c r="AO28" s="12">
        <v>8</v>
      </c>
      <c r="AP28" s="12">
        <v>8</v>
      </c>
      <c r="AQ28" s="12">
        <v>8</v>
      </c>
      <c r="AR28" s="12">
        <v>81.599999999999994</v>
      </c>
      <c r="AS28" s="11">
        <v>264.2</v>
      </c>
      <c r="AT28" s="28">
        <f>8</f>
        <v>8</v>
      </c>
      <c r="AU28" s="29">
        <v>2</v>
      </c>
      <c r="AV28" s="12">
        <v>14.05</v>
      </c>
      <c r="AW28" s="27" t="s">
        <v>234</v>
      </c>
      <c r="AX28" s="27">
        <v>3.6</v>
      </c>
      <c r="AY28" s="12">
        <v>9</v>
      </c>
      <c r="AZ28" s="12">
        <v>8</v>
      </c>
      <c r="BA28" s="12">
        <v>8.5</v>
      </c>
      <c r="BB28" s="12">
        <v>9</v>
      </c>
      <c r="BC28" s="12">
        <v>8</v>
      </c>
      <c r="BD28" s="12">
        <v>8</v>
      </c>
      <c r="BE28" s="12">
        <v>8.5</v>
      </c>
      <c r="BF28" s="12">
        <v>90</v>
      </c>
      <c r="BG28" s="11">
        <v>354.2</v>
      </c>
      <c r="BH28" s="28">
        <v>6</v>
      </c>
      <c r="BI28" s="29">
        <v>2</v>
      </c>
      <c r="BJ28" s="12">
        <v>17.649999999999999</v>
      </c>
      <c r="BK28" s="27" t="s">
        <v>236</v>
      </c>
      <c r="BL28" s="27">
        <v>3.6</v>
      </c>
      <c r="BM28" s="12">
        <v>9.5</v>
      </c>
      <c r="BN28" s="11">
        <v>10</v>
      </c>
      <c r="BO28" s="12">
        <v>9.5</v>
      </c>
      <c r="BP28" s="12">
        <v>9.5</v>
      </c>
      <c r="BQ28" s="12">
        <v>9</v>
      </c>
      <c r="BR28" s="12">
        <v>9.5</v>
      </c>
      <c r="BS28" s="11">
        <v>10</v>
      </c>
      <c r="BT28" s="12">
        <v>102.6</v>
      </c>
      <c r="BU28" s="11">
        <v>456.8</v>
      </c>
      <c r="BV28" s="28">
        <v>2</v>
      </c>
      <c r="BW28" s="29">
        <v>2</v>
      </c>
      <c r="BX28" s="12">
        <v>20.5</v>
      </c>
      <c r="BY28" s="27" t="s">
        <v>174</v>
      </c>
      <c r="BZ28" s="27">
        <v>3.7</v>
      </c>
      <c r="CA28" s="12">
        <v>6.5</v>
      </c>
      <c r="CB28" s="12">
        <v>6</v>
      </c>
      <c r="CC28" s="12">
        <v>6</v>
      </c>
      <c r="CD28" s="12">
        <v>6.5</v>
      </c>
      <c r="CE28" s="12">
        <v>4.5</v>
      </c>
      <c r="CF28" s="12">
        <v>6</v>
      </c>
      <c r="CG28" s="12">
        <v>6.5</v>
      </c>
      <c r="CH28" s="12">
        <v>68.45</v>
      </c>
      <c r="CI28" s="11">
        <v>525.25</v>
      </c>
      <c r="CJ28" s="28">
        <v>10</v>
      </c>
      <c r="CK28" s="29">
        <v>3</v>
      </c>
      <c r="CL28" s="12">
        <v>60.05</v>
      </c>
      <c r="CM28" s="22">
        <v>2016</v>
      </c>
      <c r="CN28" s="22" t="s">
        <v>175</v>
      </c>
      <c r="CO28" s="22" t="s">
        <v>141</v>
      </c>
    </row>
    <row r="29" spans="1:93" x14ac:dyDescent="0.35">
      <c r="A29" s="22">
        <v>4</v>
      </c>
      <c r="B29" s="22" t="s">
        <v>184</v>
      </c>
      <c r="C29" s="22" t="s">
        <v>259</v>
      </c>
      <c r="D29" s="22">
        <v>21</v>
      </c>
      <c r="E29" s="6">
        <v>507.35</v>
      </c>
      <c r="F29" s="6">
        <v>77.95</v>
      </c>
      <c r="G29" s="27" t="s">
        <v>137</v>
      </c>
      <c r="H29" s="27">
        <v>3.2</v>
      </c>
      <c r="I29" s="12">
        <v>8</v>
      </c>
      <c r="J29" s="12">
        <v>8</v>
      </c>
      <c r="K29" s="12">
        <v>8</v>
      </c>
      <c r="L29" s="12">
        <v>8.5</v>
      </c>
      <c r="M29" s="12">
        <v>8.5</v>
      </c>
      <c r="N29" s="12">
        <v>8.5</v>
      </c>
      <c r="O29" s="12">
        <v>8.5</v>
      </c>
      <c r="P29" s="12">
        <v>80</v>
      </c>
      <c r="Q29" s="11">
        <v>80</v>
      </c>
      <c r="R29" s="28">
        <v>8</v>
      </c>
      <c r="S29" s="29">
        <v>8</v>
      </c>
      <c r="T29" s="12">
        <v>16.899999999999999</v>
      </c>
      <c r="U29" s="27" t="s">
        <v>164</v>
      </c>
      <c r="V29" s="27">
        <v>3.4</v>
      </c>
      <c r="W29" s="12">
        <v>9</v>
      </c>
      <c r="X29" s="12">
        <v>8.5</v>
      </c>
      <c r="Y29" s="12">
        <v>8.5</v>
      </c>
      <c r="Z29" s="12">
        <v>8.5</v>
      </c>
      <c r="AA29" s="12">
        <v>8</v>
      </c>
      <c r="AB29" s="12">
        <v>8.5</v>
      </c>
      <c r="AC29" s="12">
        <v>8.5</v>
      </c>
      <c r="AD29" s="12">
        <v>86.7</v>
      </c>
      <c r="AE29" s="11">
        <v>166.7</v>
      </c>
      <c r="AF29" s="28">
        <v>4</v>
      </c>
      <c r="AG29" s="29">
        <v>4</v>
      </c>
      <c r="AH29" s="12">
        <v>15.9</v>
      </c>
      <c r="AI29" s="27" t="s">
        <v>7</v>
      </c>
      <c r="AJ29" s="27">
        <v>3</v>
      </c>
      <c r="AK29" s="12">
        <v>8.5</v>
      </c>
      <c r="AL29" s="12">
        <v>8.5</v>
      </c>
      <c r="AM29" s="12">
        <v>8.5</v>
      </c>
      <c r="AN29" s="12">
        <v>8.5</v>
      </c>
      <c r="AO29" s="12">
        <v>9</v>
      </c>
      <c r="AP29" s="12">
        <v>9</v>
      </c>
      <c r="AQ29" s="12">
        <v>8.5</v>
      </c>
      <c r="AR29" s="12">
        <v>76.5</v>
      </c>
      <c r="AS29" s="11">
        <v>243.2</v>
      </c>
      <c r="AT29" s="28">
        <v>10</v>
      </c>
      <c r="AU29" s="29">
        <v>7</v>
      </c>
      <c r="AV29" s="12">
        <v>35.049999999999997</v>
      </c>
      <c r="AW29" s="27" t="s">
        <v>139</v>
      </c>
      <c r="AX29" s="27">
        <v>3.3</v>
      </c>
      <c r="AY29" s="12">
        <v>9.5</v>
      </c>
      <c r="AZ29" s="12">
        <v>9.5</v>
      </c>
      <c r="BA29" s="12">
        <v>9.5</v>
      </c>
      <c r="BB29" s="12">
        <v>9.5</v>
      </c>
      <c r="BC29" s="12">
        <v>9.5</v>
      </c>
      <c r="BD29" s="12">
        <v>9.5</v>
      </c>
      <c r="BE29" s="12">
        <v>9.5</v>
      </c>
      <c r="BF29" s="12">
        <v>94.05</v>
      </c>
      <c r="BG29" s="11">
        <v>337.25</v>
      </c>
      <c r="BH29" s="28">
        <v>3</v>
      </c>
      <c r="BI29" s="29">
        <v>5</v>
      </c>
      <c r="BJ29" s="12">
        <v>34.6</v>
      </c>
      <c r="BK29" s="27" t="s">
        <v>143</v>
      </c>
      <c r="BL29" s="27">
        <v>3.3</v>
      </c>
      <c r="BM29" s="12">
        <v>9</v>
      </c>
      <c r="BN29" s="12">
        <v>9</v>
      </c>
      <c r="BO29" s="12">
        <v>9</v>
      </c>
      <c r="BP29" s="12">
        <v>9</v>
      </c>
      <c r="BQ29" s="12">
        <v>8</v>
      </c>
      <c r="BR29" s="12">
        <v>9</v>
      </c>
      <c r="BS29" s="12">
        <v>9</v>
      </c>
      <c r="BT29" s="12">
        <v>89.1</v>
      </c>
      <c r="BU29" s="11">
        <v>426.35</v>
      </c>
      <c r="BV29" s="28">
        <v>4</v>
      </c>
      <c r="BW29" s="29">
        <v>4</v>
      </c>
      <c r="BX29" s="12">
        <v>50.95</v>
      </c>
      <c r="BY29" s="27" t="s">
        <v>236</v>
      </c>
      <c r="BZ29" s="27">
        <v>3.6</v>
      </c>
      <c r="CA29" s="12">
        <v>7.5</v>
      </c>
      <c r="CB29" s="12">
        <v>7</v>
      </c>
      <c r="CC29" s="12">
        <v>7</v>
      </c>
      <c r="CD29" s="12">
        <v>7.5</v>
      </c>
      <c r="CE29" s="12">
        <v>8</v>
      </c>
      <c r="CF29" s="12">
        <v>7.5</v>
      </c>
      <c r="CG29" s="12">
        <v>7.5</v>
      </c>
      <c r="CH29" s="12">
        <v>81</v>
      </c>
      <c r="CI29" s="11">
        <v>507.35</v>
      </c>
      <c r="CJ29" s="28">
        <v>8</v>
      </c>
      <c r="CK29" s="29">
        <v>4</v>
      </c>
      <c r="CL29" s="12">
        <v>77.95</v>
      </c>
      <c r="CM29" s="22">
        <v>2016</v>
      </c>
      <c r="CN29" s="22" t="s">
        <v>175</v>
      </c>
      <c r="CO29" s="22" t="s">
        <v>141</v>
      </c>
    </row>
    <row r="30" spans="1:93" x14ac:dyDescent="0.35">
      <c r="A30" s="22">
        <v>5</v>
      </c>
      <c r="B30" s="22" t="s">
        <v>20</v>
      </c>
      <c r="C30" s="22" t="s">
        <v>195</v>
      </c>
      <c r="D30" s="22">
        <v>24</v>
      </c>
      <c r="E30" s="6">
        <v>492.9</v>
      </c>
      <c r="F30" s="6">
        <v>92.4</v>
      </c>
      <c r="G30" s="27" t="s">
        <v>235</v>
      </c>
      <c r="H30" s="27">
        <v>3.6</v>
      </c>
      <c r="I30" s="12">
        <v>8</v>
      </c>
      <c r="J30" s="12">
        <v>8.5</v>
      </c>
      <c r="K30" s="12">
        <v>8.5</v>
      </c>
      <c r="L30" s="12">
        <v>7.5</v>
      </c>
      <c r="M30" s="12">
        <v>8.5</v>
      </c>
      <c r="N30" s="12">
        <v>8.5</v>
      </c>
      <c r="O30" s="12">
        <v>8</v>
      </c>
      <c r="P30" s="12">
        <v>90</v>
      </c>
      <c r="Q30" s="11">
        <v>90</v>
      </c>
      <c r="R30" s="28">
        <v>3</v>
      </c>
      <c r="S30" s="29">
        <v>3</v>
      </c>
      <c r="T30" s="12">
        <v>6.9</v>
      </c>
      <c r="U30" s="27" t="s">
        <v>137</v>
      </c>
      <c r="V30" s="27">
        <v>3.2</v>
      </c>
      <c r="W30" s="12">
        <v>8</v>
      </c>
      <c r="X30" s="12">
        <v>8</v>
      </c>
      <c r="Y30" s="12">
        <v>8</v>
      </c>
      <c r="Z30" s="12">
        <v>8</v>
      </c>
      <c r="AA30" s="12">
        <v>8</v>
      </c>
      <c r="AB30" s="12">
        <v>8</v>
      </c>
      <c r="AC30" s="12">
        <v>8</v>
      </c>
      <c r="AD30" s="12">
        <v>76.8</v>
      </c>
      <c r="AE30" s="11">
        <v>166.8</v>
      </c>
      <c r="AF30" s="28">
        <v>9</v>
      </c>
      <c r="AG30" s="29">
        <v>3</v>
      </c>
      <c r="AH30" s="12">
        <v>15.8</v>
      </c>
      <c r="AI30" s="27" t="s">
        <v>164</v>
      </c>
      <c r="AJ30" s="27">
        <v>3.4</v>
      </c>
      <c r="AK30" s="12">
        <v>9.5</v>
      </c>
      <c r="AL30" s="12">
        <v>9</v>
      </c>
      <c r="AM30" s="12">
        <v>9</v>
      </c>
      <c r="AN30" s="12">
        <v>9</v>
      </c>
      <c r="AO30" s="12">
        <v>9.5</v>
      </c>
      <c r="AP30" s="12">
        <v>9.5</v>
      </c>
      <c r="AQ30" s="12">
        <v>9.5</v>
      </c>
      <c r="AR30" s="12">
        <v>95.2</v>
      </c>
      <c r="AS30" s="11">
        <v>262</v>
      </c>
      <c r="AT30" s="28">
        <v>3</v>
      </c>
      <c r="AU30" s="29">
        <v>3</v>
      </c>
      <c r="AV30" s="12">
        <v>16.25</v>
      </c>
      <c r="AW30" s="27" t="s">
        <v>234</v>
      </c>
      <c r="AX30" s="27">
        <v>3.6</v>
      </c>
      <c r="AY30" s="12">
        <v>6</v>
      </c>
      <c r="AZ30" s="12">
        <v>5.5</v>
      </c>
      <c r="BA30" s="12">
        <v>5.5</v>
      </c>
      <c r="BB30" s="12">
        <v>4.5</v>
      </c>
      <c r="BC30" s="12">
        <v>6</v>
      </c>
      <c r="BD30" s="12">
        <v>5.5</v>
      </c>
      <c r="BE30" s="12">
        <v>5</v>
      </c>
      <c r="BF30" s="12">
        <v>59.4</v>
      </c>
      <c r="BG30" s="11">
        <v>321.39999999999998</v>
      </c>
      <c r="BH30" s="28">
        <v>9</v>
      </c>
      <c r="BI30" s="29">
        <v>6</v>
      </c>
      <c r="BJ30" s="12">
        <v>50.45</v>
      </c>
      <c r="BK30" s="27" t="s">
        <v>236</v>
      </c>
      <c r="BL30" s="27">
        <v>3.6</v>
      </c>
      <c r="BM30" s="12">
        <v>8</v>
      </c>
      <c r="BN30" s="12">
        <v>8.5</v>
      </c>
      <c r="BO30" s="12">
        <v>8.5</v>
      </c>
      <c r="BP30" s="12">
        <v>8</v>
      </c>
      <c r="BQ30" s="12">
        <v>7.5</v>
      </c>
      <c r="BR30" s="12">
        <v>8</v>
      </c>
      <c r="BS30" s="12">
        <v>8</v>
      </c>
      <c r="BT30" s="12">
        <v>86.4</v>
      </c>
      <c r="BU30" s="11">
        <v>407.8</v>
      </c>
      <c r="BV30" s="28">
        <v>5</v>
      </c>
      <c r="BW30" s="29">
        <v>5</v>
      </c>
      <c r="BX30" s="12">
        <v>69.5</v>
      </c>
      <c r="BY30" s="27" t="s">
        <v>174</v>
      </c>
      <c r="BZ30" s="27">
        <v>3.7</v>
      </c>
      <c r="CA30" s="12">
        <v>8</v>
      </c>
      <c r="CB30" s="12">
        <v>8.5</v>
      </c>
      <c r="CC30" s="12">
        <v>7.5</v>
      </c>
      <c r="CD30" s="12">
        <v>7.5</v>
      </c>
      <c r="CE30" s="12">
        <v>7.5</v>
      </c>
      <c r="CF30" s="12">
        <v>7.5</v>
      </c>
      <c r="CG30" s="12">
        <v>8</v>
      </c>
      <c r="CH30" s="12">
        <v>85.1</v>
      </c>
      <c r="CI30" s="11">
        <v>492.9</v>
      </c>
      <c r="CJ30" s="28">
        <v>7</v>
      </c>
      <c r="CK30" s="29">
        <v>5</v>
      </c>
      <c r="CL30" s="12">
        <v>92.4</v>
      </c>
      <c r="CM30" s="22">
        <v>2016</v>
      </c>
      <c r="CN30" s="22" t="s">
        <v>175</v>
      </c>
      <c r="CO30" s="22" t="s">
        <v>141</v>
      </c>
    </row>
    <row r="31" spans="1:93" x14ac:dyDescent="0.35">
      <c r="A31" s="22">
        <v>6</v>
      </c>
      <c r="B31" s="22" t="s">
        <v>3</v>
      </c>
      <c r="C31" s="22" t="s">
        <v>260</v>
      </c>
      <c r="D31" s="22">
        <v>23</v>
      </c>
      <c r="E31" s="6">
        <v>488.2</v>
      </c>
      <c r="F31" s="6">
        <v>97.1</v>
      </c>
      <c r="G31" s="27" t="s">
        <v>173</v>
      </c>
      <c r="H31" s="27">
        <v>3.5</v>
      </c>
      <c r="I31" s="12">
        <v>9</v>
      </c>
      <c r="J31" s="12">
        <v>9</v>
      </c>
      <c r="K31" s="12">
        <v>9</v>
      </c>
      <c r="L31" s="12">
        <v>8.5</v>
      </c>
      <c r="M31" s="12">
        <v>8.5</v>
      </c>
      <c r="N31" s="12">
        <v>9</v>
      </c>
      <c r="O31" s="12">
        <v>9</v>
      </c>
      <c r="P31" s="12">
        <v>94.5</v>
      </c>
      <c r="Q31" s="11">
        <v>94.5</v>
      </c>
      <c r="R31" s="28">
        <v>2</v>
      </c>
      <c r="S31" s="29">
        <v>2</v>
      </c>
      <c r="T31" s="12">
        <v>2.4</v>
      </c>
      <c r="U31" s="27" t="s">
        <v>240</v>
      </c>
      <c r="V31" s="27">
        <v>3.5</v>
      </c>
      <c r="W31" s="12">
        <v>4.5</v>
      </c>
      <c r="X31" s="12">
        <v>5.5</v>
      </c>
      <c r="Y31" s="12">
        <v>4</v>
      </c>
      <c r="Z31" s="12">
        <v>4.5</v>
      </c>
      <c r="AA31" s="12">
        <v>4.5</v>
      </c>
      <c r="AB31" s="12">
        <v>4</v>
      </c>
      <c r="AC31" s="12">
        <v>4.5</v>
      </c>
      <c r="AD31" s="12">
        <v>47.25</v>
      </c>
      <c r="AE31" s="11">
        <v>141.75</v>
      </c>
      <c r="AF31" s="28">
        <v>12</v>
      </c>
      <c r="AG31" s="29">
        <v>12</v>
      </c>
      <c r="AH31" s="12">
        <v>40.85</v>
      </c>
      <c r="AI31" s="27" t="s">
        <v>164</v>
      </c>
      <c r="AJ31" s="27">
        <v>3.4</v>
      </c>
      <c r="AK31" s="11">
        <v>10</v>
      </c>
      <c r="AL31" s="11">
        <v>10</v>
      </c>
      <c r="AM31" s="11">
        <v>10</v>
      </c>
      <c r="AN31" s="11">
        <v>10</v>
      </c>
      <c r="AO31" s="11">
        <v>10</v>
      </c>
      <c r="AP31" s="11">
        <v>10</v>
      </c>
      <c r="AQ31" s="11">
        <v>10</v>
      </c>
      <c r="AR31" s="12">
        <v>102</v>
      </c>
      <c r="AS31" s="11">
        <v>243.75</v>
      </c>
      <c r="AT31" s="28">
        <v>2</v>
      </c>
      <c r="AU31" s="29">
        <v>6</v>
      </c>
      <c r="AV31" s="12">
        <v>34.5</v>
      </c>
      <c r="AW31" s="27" t="s">
        <v>234</v>
      </c>
      <c r="AX31" s="27">
        <v>3.6</v>
      </c>
      <c r="AY31" s="12">
        <v>9.5</v>
      </c>
      <c r="AZ31" s="12">
        <v>9.5</v>
      </c>
      <c r="BA31" s="11">
        <v>10</v>
      </c>
      <c r="BB31" s="12">
        <v>9.5</v>
      </c>
      <c r="BC31" s="11">
        <v>10</v>
      </c>
      <c r="BD31" s="12">
        <v>9.5</v>
      </c>
      <c r="BE31" s="12">
        <v>9.5</v>
      </c>
      <c r="BF31" s="12">
        <v>102.6</v>
      </c>
      <c r="BG31" s="11">
        <v>346.35</v>
      </c>
      <c r="BH31" s="28">
        <v>1</v>
      </c>
      <c r="BI31" s="29">
        <v>3</v>
      </c>
      <c r="BJ31" s="12">
        <v>25.5</v>
      </c>
      <c r="BK31" s="27" t="s">
        <v>177</v>
      </c>
      <c r="BL31" s="27">
        <v>3.8</v>
      </c>
      <c r="BM31" s="12">
        <v>4.5</v>
      </c>
      <c r="BN31" s="12">
        <v>4</v>
      </c>
      <c r="BO31" s="12">
        <v>4</v>
      </c>
      <c r="BP31" s="12">
        <v>4.5</v>
      </c>
      <c r="BQ31" s="12">
        <v>5</v>
      </c>
      <c r="BR31" s="12">
        <v>4</v>
      </c>
      <c r="BS31" s="12">
        <v>3.5</v>
      </c>
      <c r="BT31" s="12">
        <v>47.5</v>
      </c>
      <c r="BU31" s="11">
        <v>393.85</v>
      </c>
      <c r="BV31" s="28">
        <v>9</v>
      </c>
      <c r="BW31" s="29">
        <v>7</v>
      </c>
      <c r="BX31" s="12">
        <v>83.45</v>
      </c>
      <c r="BY31" s="27" t="s">
        <v>174</v>
      </c>
      <c r="BZ31" s="27">
        <v>3.7</v>
      </c>
      <c r="CA31" s="12">
        <v>8.5</v>
      </c>
      <c r="CB31" s="12">
        <v>8.5</v>
      </c>
      <c r="CC31" s="12">
        <v>8.5</v>
      </c>
      <c r="CD31" s="12">
        <v>8.5</v>
      </c>
      <c r="CE31" s="12">
        <v>8.5</v>
      </c>
      <c r="CF31" s="12">
        <v>9</v>
      </c>
      <c r="CG31" s="12">
        <v>8.5</v>
      </c>
      <c r="CH31" s="12">
        <v>94.35</v>
      </c>
      <c r="CI31" s="11">
        <v>488.2</v>
      </c>
      <c r="CJ31" s="28">
        <v>2</v>
      </c>
      <c r="CK31" s="29">
        <v>6</v>
      </c>
      <c r="CL31" s="12">
        <v>97.1</v>
      </c>
      <c r="CM31" s="22">
        <v>2016</v>
      </c>
      <c r="CN31" s="22" t="s">
        <v>175</v>
      </c>
      <c r="CO31" s="22" t="s">
        <v>141</v>
      </c>
    </row>
    <row r="32" spans="1:93" x14ac:dyDescent="0.35">
      <c r="A32" s="22">
        <v>7</v>
      </c>
      <c r="B32" s="22" t="s">
        <v>262</v>
      </c>
      <c r="C32" s="22" t="s">
        <v>261</v>
      </c>
      <c r="D32" s="22">
        <v>22</v>
      </c>
      <c r="E32" s="6">
        <v>485.35</v>
      </c>
      <c r="F32" s="6">
        <v>99.95</v>
      </c>
      <c r="G32" s="27" t="s">
        <v>137</v>
      </c>
      <c r="H32" s="27">
        <v>3.2</v>
      </c>
      <c r="I32" s="12">
        <v>7</v>
      </c>
      <c r="J32" s="12">
        <v>6</v>
      </c>
      <c r="K32" s="12">
        <v>7</v>
      </c>
      <c r="L32" s="12">
        <v>7</v>
      </c>
      <c r="M32" s="12">
        <v>7</v>
      </c>
      <c r="N32" s="12">
        <v>6.5</v>
      </c>
      <c r="O32" s="12">
        <v>6</v>
      </c>
      <c r="P32" s="12">
        <v>65.599999999999994</v>
      </c>
      <c r="Q32" s="11">
        <v>65.599999999999994</v>
      </c>
      <c r="R32" s="28">
        <f>11</f>
        <v>11</v>
      </c>
      <c r="S32" s="29">
        <f>11</f>
        <v>11</v>
      </c>
      <c r="T32" s="12">
        <v>31.3</v>
      </c>
      <c r="U32" s="27" t="s">
        <v>174</v>
      </c>
      <c r="V32" s="27">
        <v>3.7</v>
      </c>
      <c r="W32" s="12">
        <v>8.5</v>
      </c>
      <c r="X32" s="12">
        <v>8</v>
      </c>
      <c r="Y32" s="12">
        <v>8</v>
      </c>
      <c r="Z32" s="12">
        <v>8.5</v>
      </c>
      <c r="AA32" s="12">
        <v>8.5</v>
      </c>
      <c r="AB32" s="12">
        <v>7.5</v>
      </c>
      <c r="AC32" s="12">
        <v>8</v>
      </c>
      <c r="AD32" s="12">
        <v>90.65</v>
      </c>
      <c r="AE32" s="11">
        <v>156.25</v>
      </c>
      <c r="AF32" s="28">
        <f>2</f>
        <v>2</v>
      </c>
      <c r="AG32" s="29">
        <f>9</f>
        <v>9</v>
      </c>
      <c r="AH32" s="12">
        <v>26.35</v>
      </c>
      <c r="AI32" s="27" t="s">
        <v>138</v>
      </c>
      <c r="AJ32" s="27">
        <v>3.2</v>
      </c>
      <c r="AK32" s="12">
        <v>8.5</v>
      </c>
      <c r="AL32" s="12">
        <v>8.5</v>
      </c>
      <c r="AM32" s="12">
        <v>8.5</v>
      </c>
      <c r="AN32" s="12">
        <v>8.5</v>
      </c>
      <c r="AO32" s="12">
        <v>8</v>
      </c>
      <c r="AP32" s="12">
        <v>8</v>
      </c>
      <c r="AQ32" s="12">
        <v>8.5</v>
      </c>
      <c r="AR32" s="12">
        <v>81.599999999999994</v>
      </c>
      <c r="AS32" s="11">
        <v>237.85</v>
      </c>
      <c r="AT32" s="28">
        <f>8</f>
        <v>8</v>
      </c>
      <c r="AU32" s="29">
        <v>10</v>
      </c>
      <c r="AV32" s="12">
        <v>40.4</v>
      </c>
      <c r="AW32" s="27" t="s">
        <v>140</v>
      </c>
      <c r="AX32" s="27">
        <v>3.2</v>
      </c>
      <c r="AY32" s="12">
        <v>9</v>
      </c>
      <c r="AZ32" s="12">
        <v>8.5</v>
      </c>
      <c r="BA32" s="12">
        <v>8.5</v>
      </c>
      <c r="BB32" s="12">
        <v>8.5</v>
      </c>
      <c r="BC32" s="12">
        <v>8.5</v>
      </c>
      <c r="BD32" s="12">
        <v>8.5</v>
      </c>
      <c r="BE32" s="12">
        <v>8</v>
      </c>
      <c r="BF32" s="12">
        <v>81.599999999999994</v>
      </c>
      <c r="BG32" s="11">
        <v>319.45</v>
      </c>
      <c r="BH32" s="28">
        <v>7</v>
      </c>
      <c r="BI32" s="29">
        <v>7</v>
      </c>
      <c r="BJ32" s="12">
        <v>52.4</v>
      </c>
      <c r="BK32" s="27" t="s">
        <v>139</v>
      </c>
      <c r="BL32" s="27">
        <v>3.3</v>
      </c>
      <c r="BM32" s="12">
        <v>8</v>
      </c>
      <c r="BN32" s="12">
        <v>7.5</v>
      </c>
      <c r="BO32" s="12">
        <v>8</v>
      </c>
      <c r="BP32" s="12">
        <v>8</v>
      </c>
      <c r="BQ32" s="12">
        <v>7.5</v>
      </c>
      <c r="BR32" s="12">
        <v>8</v>
      </c>
      <c r="BS32" s="12">
        <v>8</v>
      </c>
      <c r="BT32" s="12">
        <v>79.2</v>
      </c>
      <c r="BU32" s="11">
        <v>398.65</v>
      </c>
      <c r="BV32" s="28">
        <v>7</v>
      </c>
      <c r="BW32" s="29">
        <v>6</v>
      </c>
      <c r="BX32" s="12">
        <v>78.650000000000006</v>
      </c>
      <c r="BY32" s="27" t="s">
        <v>164</v>
      </c>
      <c r="BZ32" s="27">
        <v>3.4</v>
      </c>
      <c r="CA32" s="12">
        <v>9</v>
      </c>
      <c r="CB32" s="12">
        <v>8.5</v>
      </c>
      <c r="CC32" s="12">
        <v>8</v>
      </c>
      <c r="CD32" s="12">
        <v>8.5</v>
      </c>
      <c r="CE32" s="12">
        <v>9</v>
      </c>
      <c r="CF32" s="12">
        <v>8</v>
      </c>
      <c r="CG32" s="12">
        <v>8.5</v>
      </c>
      <c r="CH32" s="12">
        <v>86.7</v>
      </c>
      <c r="CI32" s="11">
        <v>485.35</v>
      </c>
      <c r="CJ32" s="28">
        <v>6</v>
      </c>
      <c r="CK32" s="29">
        <v>7</v>
      </c>
      <c r="CL32" s="12">
        <v>99.95</v>
      </c>
      <c r="CM32" s="22">
        <v>2016</v>
      </c>
      <c r="CN32" s="22" t="s">
        <v>175</v>
      </c>
      <c r="CO32" s="22" t="s">
        <v>141</v>
      </c>
    </row>
    <row r="33" spans="1:93" x14ac:dyDescent="0.35">
      <c r="A33" s="22">
        <v>8</v>
      </c>
      <c r="B33" s="22" t="s">
        <v>206</v>
      </c>
      <c r="C33" s="22" t="s">
        <v>250</v>
      </c>
      <c r="D33" s="22">
        <v>25</v>
      </c>
      <c r="E33" s="6">
        <v>481.6</v>
      </c>
      <c r="F33" s="6">
        <v>103.7</v>
      </c>
      <c r="G33" s="27" t="s">
        <v>137</v>
      </c>
      <c r="H33" s="27">
        <v>3.2</v>
      </c>
      <c r="I33" s="12">
        <v>8.5</v>
      </c>
      <c r="J33" s="12">
        <v>8.5</v>
      </c>
      <c r="K33" s="12">
        <v>8</v>
      </c>
      <c r="L33" s="12">
        <v>8.5</v>
      </c>
      <c r="M33" s="12">
        <v>8.5</v>
      </c>
      <c r="N33" s="12">
        <v>9</v>
      </c>
      <c r="O33" s="12">
        <v>9</v>
      </c>
      <c r="P33" s="12">
        <v>81.599999999999994</v>
      </c>
      <c r="Q33" s="11">
        <v>81.599999999999994</v>
      </c>
      <c r="R33" s="28">
        <v>7</v>
      </c>
      <c r="S33" s="29">
        <v>7</v>
      </c>
      <c r="T33" s="12">
        <v>15.3</v>
      </c>
      <c r="U33" s="27" t="s">
        <v>174</v>
      </c>
      <c r="V33" s="27">
        <v>3.7</v>
      </c>
      <c r="W33" s="12">
        <v>6</v>
      </c>
      <c r="X33" s="12">
        <v>6</v>
      </c>
      <c r="Y33" s="12">
        <v>6.5</v>
      </c>
      <c r="Z33" s="12">
        <v>6.5</v>
      </c>
      <c r="AA33" s="12">
        <v>6.5</v>
      </c>
      <c r="AB33" s="12">
        <v>7</v>
      </c>
      <c r="AC33" s="12">
        <v>5.5</v>
      </c>
      <c r="AD33" s="12">
        <v>70.3</v>
      </c>
      <c r="AE33" s="11">
        <v>151.9</v>
      </c>
      <c r="AF33" s="28">
        <v>11</v>
      </c>
      <c r="AG33" s="29">
        <v>11</v>
      </c>
      <c r="AH33" s="12">
        <v>30.7</v>
      </c>
      <c r="AI33" s="27" t="s">
        <v>164</v>
      </c>
      <c r="AJ33" s="27">
        <v>3.4</v>
      </c>
      <c r="AK33" s="12">
        <v>8.5</v>
      </c>
      <c r="AL33" s="12">
        <v>8</v>
      </c>
      <c r="AM33" s="12">
        <v>8.5</v>
      </c>
      <c r="AN33" s="12">
        <v>8.5</v>
      </c>
      <c r="AO33" s="12">
        <v>8.5</v>
      </c>
      <c r="AP33" s="12">
        <v>8.5</v>
      </c>
      <c r="AQ33" s="12">
        <v>8</v>
      </c>
      <c r="AR33" s="12">
        <v>86.7</v>
      </c>
      <c r="AS33" s="11">
        <v>238.6</v>
      </c>
      <c r="AT33" s="28">
        <v>5</v>
      </c>
      <c r="AU33" s="29">
        <v>9</v>
      </c>
      <c r="AV33" s="12">
        <v>39.65</v>
      </c>
      <c r="AW33" s="27" t="s">
        <v>235</v>
      </c>
      <c r="AX33" s="27">
        <v>3.6</v>
      </c>
      <c r="AY33" s="12">
        <v>7</v>
      </c>
      <c r="AZ33" s="12">
        <v>7</v>
      </c>
      <c r="BA33" s="12">
        <v>6.5</v>
      </c>
      <c r="BB33" s="12">
        <v>7.5</v>
      </c>
      <c r="BC33" s="12">
        <v>7.5</v>
      </c>
      <c r="BD33" s="12">
        <v>8</v>
      </c>
      <c r="BE33" s="12">
        <v>8</v>
      </c>
      <c r="BF33" s="12">
        <v>79.2</v>
      </c>
      <c r="BG33" s="11">
        <v>317.8</v>
      </c>
      <c r="BH33" s="28">
        <v>8</v>
      </c>
      <c r="BI33" s="29">
        <v>8</v>
      </c>
      <c r="BJ33" s="12">
        <v>54.05</v>
      </c>
      <c r="BK33" s="27" t="s">
        <v>234</v>
      </c>
      <c r="BL33" s="27">
        <v>3.6</v>
      </c>
      <c r="BM33" s="12">
        <v>7</v>
      </c>
      <c r="BN33" s="12">
        <v>5.5</v>
      </c>
      <c r="BO33" s="12">
        <v>6.5</v>
      </c>
      <c r="BP33" s="12">
        <v>6.5</v>
      </c>
      <c r="BQ33" s="12">
        <v>6.5</v>
      </c>
      <c r="BR33" s="12">
        <v>7</v>
      </c>
      <c r="BS33" s="12">
        <v>7</v>
      </c>
      <c r="BT33" s="12">
        <v>72</v>
      </c>
      <c r="BU33" s="11">
        <v>389.8</v>
      </c>
      <c r="BV33" s="28">
        <v>8</v>
      </c>
      <c r="BW33" s="29">
        <v>8</v>
      </c>
      <c r="BX33" s="12">
        <v>87.5</v>
      </c>
      <c r="BY33" s="27" t="s">
        <v>236</v>
      </c>
      <c r="BZ33" s="27">
        <v>3.6</v>
      </c>
      <c r="CA33" s="12">
        <v>9</v>
      </c>
      <c r="CB33" s="12">
        <v>8.5</v>
      </c>
      <c r="CC33" s="12">
        <v>8.5</v>
      </c>
      <c r="CD33" s="12">
        <v>9</v>
      </c>
      <c r="CE33" s="12">
        <v>8.5</v>
      </c>
      <c r="CF33" s="12">
        <v>8.5</v>
      </c>
      <c r="CG33" s="12">
        <v>8.5</v>
      </c>
      <c r="CH33" s="12">
        <v>91.8</v>
      </c>
      <c r="CI33" s="11">
        <v>481.6</v>
      </c>
      <c r="CJ33" s="28">
        <v>3</v>
      </c>
      <c r="CK33" s="29">
        <v>8</v>
      </c>
      <c r="CL33" s="12">
        <v>103.7</v>
      </c>
      <c r="CM33" s="22">
        <v>2016</v>
      </c>
      <c r="CN33" s="22" t="s">
        <v>175</v>
      </c>
      <c r="CO33" s="22" t="s">
        <v>141</v>
      </c>
    </row>
    <row r="34" spans="1:93" x14ac:dyDescent="0.35">
      <c r="A34" s="22">
        <v>9</v>
      </c>
      <c r="B34" s="22" t="s">
        <v>20</v>
      </c>
      <c r="C34" s="22" t="s">
        <v>263</v>
      </c>
      <c r="D34" s="22">
        <v>30</v>
      </c>
      <c r="E34" s="6">
        <v>424.15</v>
      </c>
      <c r="F34" s="6">
        <v>161.15</v>
      </c>
      <c r="G34" s="27" t="s">
        <v>137</v>
      </c>
      <c r="H34" s="27">
        <v>3.2</v>
      </c>
      <c r="I34" s="12">
        <v>7</v>
      </c>
      <c r="J34" s="12">
        <v>6</v>
      </c>
      <c r="K34" s="12">
        <v>7</v>
      </c>
      <c r="L34" s="12">
        <v>6.5</v>
      </c>
      <c r="M34" s="12">
        <v>7.5</v>
      </c>
      <c r="N34" s="12">
        <v>6.5</v>
      </c>
      <c r="O34" s="12">
        <v>7</v>
      </c>
      <c r="P34" s="12">
        <v>65.599999999999994</v>
      </c>
      <c r="Q34" s="11">
        <v>65.599999999999994</v>
      </c>
      <c r="R34" s="28">
        <f>11</f>
        <v>11</v>
      </c>
      <c r="S34" s="29">
        <f>11</f>
        <v>11</v>
      </c>
      <c r="T34" s="12">
        <v>31.3</v>
      </c>
      <c r="U34" s="27" t="s">
        <v>174</v>
      </c>
      <c r="V34" s="27">
        <v>3.7</v>
      </c>
      <c r="W34" s="12">
        <v>8</v>
      </c>
      <c r="X34" s="12">
        <v>8.5</v>
      </c>
      <c r="Y34" s="12">
        <v>9</v>
      </c>
      <c r="Z34" s="12">
        <v>8</v>
      </c>
      <c r="AA34" s="12">
        <v>8</v>
      </c>
      <c r="AB34" s="12">
        <v>8</v>
      </c>
      <c r="AC34" s="12">
        <v>8.5</v>
      </c>
      <c r="AD34" s="12">
        <v>90.65</v>
      </c>
      <c r="AE34" s="11">
        <v>156.25</v>
      </c>
      <c r="AF34" s="28">
        <f>2</f>
        <v>2</v>
      </c>
      <c r="AG34" s="29">
        <f>9</f>
        <v>9</v>
      </c>
      <c r="AH34" s="12">
        <v>26.35</v>
      </c>
      <c r="AI34" s="27" t="s">
        <v>240</v>
      </c>
      <c r="AJ34" s="27">
        <v>3.5</v>
      </c>
      <c r="AK34" s="12">
        <v>9</v>
      </c>
      <c r="AL34" s="12">
        <v>9</v>
      </c>
      <c r="AM34" s="12">
        <v>9.5</v>
      </c>
      <c r="AN34" s="12">
        <v>9</v>
      </c>
      <c r="AO34" s="12">
        <v>8.5</v>
      </c>
      <c r="AP34" s="12">
        <v>9</v>
      </c>
      <c r="AQ34" s="12">
        <v>8.5</v>
      </c>
      <c r="AR34" s="12">
        <v>94.5</v>
      </c>
      <c r="AS34" s="11">
        <v>250.75</v>
      </c>
      <c r="AT34" s="28">
        <v>4</v>
      </c>
      <c r="AU34" s="29">
        <v>4</v>
      </c>
      <c r="AV34" s="12">
        <v>27.5</v>
      </c>
      <c r="AW34" s="27" t="s">
        <v>234</v>
      </c>
      <c r="AX34" s="27">
        <v>3.6</v>
      </c>
      <c r="AY34" s="12">
        <v>3.5</v>
      </c>
      <c r="AZ34" s="12">
        <v>3.5</v>
      </c>
      <c r="BA34" s="12">
        <v>3.5</v>
      </c>
      <c r="BB34" s="12">
        <v>3</v>
      </c>
      <c r="BC34" s="12">
        <v>4</v>
      </c>
      <c r="BD34" s="12">
        <v>3.5</v>
      </c>
      <c r="BE34" s="12">
        <v>3.5</v>
      </c>
      <c r="BF34" s="12">
        <v>37.799999999999997</v>
      </c>
      <c r="BG34" s="11">
        <v>288.55</v>
      </c>
      <c r="BH34" s="28">
        <v>12</v>
      </c>
      <c r="BI34" s="29">
        <v>11</v>
      </c>
      <c r="BJ34" s="12">
        <v>83.3</v>
      </c>
      <c r="BK34" s="27" t="s">
        <v>164</v>
      </c>
      <c r="BL34" s="27">
        <v>3.4</v>
      </c>
      <c r="BM34" s="12">
        <v>8</v>
      </c>
      <c r="BN34" s="12">
        <v>8</v>
      </c>
      <c r="BO34" s="12">
        <v>8.5</v>
      </c>
      <c r="BP34" s="12">
        <v>8</v>
      </c>
      <c r="BQ34" s="12">
        <v>8</v>
      </c>
      <c r="BR34" s="12">
        <v>8</v>
      </c>
      <c r="BS34" s="12">
        <v>8.5</v>
      </c>
      <c r="BT34" s="12">
        <v>81.599999999999994</v>
      </c>
      <c r="BU34" s="11">
        <v>370.15</v>
      </c>
      <c r="BV34" s="28">
        <v>6</v>
      </c>
      <c r="BW34" s="29">
        <v>9</v>
      </c>
      <c r="BX34" s="12">
        <v>107.15</v>
      </c>
      <c r="BY34" s="27" t="s">
        <v>236</v>
      </c>
      <c r="BZ34" s="27">
        <v>3.6</v>
      </c>
      <c r="CA34" s="12">
        <v>4.5</v>
      </c>
      <c r="CB34" s="12">
        <v>4.5</v>
      </c>
      <c r="CC34" s="12">
        <v>5.5</v>
      </c>
      <c r="CD34" s="12">
        <v>5</v>
      </c>
      <c r="CE34" s="12">
        <v>6</v>
      </c>
      <c r="CF34" s="12">
        <v>5</v>
      </c>
      <c r="CG34" s="12">
        <v>5</v>
      </c>
      <c r="CH34" s="12">
        <v>54</v>
      </c>
      <c r="CI34" s="11">
        <v>424.15</v>
      </c>
      <c r="CJ34" s="28">
        <v>12</v>
      </c>
      <c r="CK34" s="29">
        <v>9</v>
      </c>
      <c r="CL34" s="12">
        <v>161.15</v>
      </c>
      <c r="CM34" s="22">
        <v>2016</v>
      </c>
      <c r="CN34" s="22" t="s">
        <v>175</v>
      </c>
      <c r="CO34" s="22" t="s">
        <v>141</v>
      </c>
    </row>
    <row r="35" spans="1:93" x14ac:dyDescent="0.35">
      <c r="A35" s="22">
        <v>10</v>
      </c>
      <c r="B35" s="22" t="s">
        <v>18</v>
      </c>
      <c r="C35" s="22" t="s">
        <v>264</v>
      </c>
      <c r="D35" s="22">
        <v>22</v>
      </c>
      <c r="E35" s="6">
        <v>418.95</v>
      </c>
      <c r="F35" s="6">
        <v>166.35</v>
      </c>
      <c r="G35" s="27" t="s">
        <v>174</v>
      </c>
      <c r="H35" s="27">
        <v>3.7</v>
      </c>
      <c r="I35" s="12">
        <v>8</v>
      </c>
      <c r="J35" s="12">
        <v>8.5</v>
      </c>
      <c r="K35" s="12">
        <v>8</v>
      </c>
      <c r="L35" s="12">
        <v>8</v>
      </c>
      <c r="M35" s="12">
        <v>7.5</v>
      </c>
      <c r="N35" s="12">
        <v>8</v>
      </c>
      <c r="O35" s="12">
        <v>8.5</v>
      </c>
      <c r="P35" s="12">
        <v>88.8</v>
      </c>
      <c r="Q35" s="11">
        <v>88.8</v>
      </c>
      <c r="R35" s="28">
        <v>4</v>
      </c>
      <c r="S35" s="29">
        <v>4</v>
      </c>
      <c r="T35" s="12">
        <v>8.1</v>
      </c>
      <c r="U35" s="27" t="s">
        <v>235</v>
      </c>
      <c r="V35" s="27">
        <v>3.6</v>
      </c>
      <c r="W35" s="12">
        <v>7</v>
      </c>
      <c r="X35" s="12">
        <v>7.5</v>
      </c>
      <c r="Y35" s="12">
        <v>7</v>
      </c>
      <c r="Z35" s="12">
        <v>6.5</v>
      </c>
      <c r="AA35" s="12">
        <v>6.5</v>
      </c>
      <c r="AB35" s="12">
        <v>6.5</v>
      </c>
      <c r="AC35" s="12">
        <v>7.5</v>
      </c>
      <c r="AD35" s="12">
        <v>73.8</v>
      </c>
      <c r="AE35" s="11">
        <v>162.6</v>
      </c>
      <c r="AF35" s="28">
        <v>10</v>
      </c>
      <c r="AG35" s="29">
        <v>6</v>
      </c>
      <c r="AH35" s="12">
        <v>20</v>
      </c>
      <c r="AI35" s="27" t="s">
        <v>234</v>
      </c>
      <c r="AJ35" s="27">
        <v>3.6</v>
      </c>
      <c r="AK35" s="12">
        <v>5.5</v>
      </c>
      <c r="AL35" s="12">
        <v>5</v>
      </c>
      <c r="AM35" s="12">
        <v>4.5</v>
      </c>
      <c r="AN35" s="12">
        <v>5.5</v>
      </c>
      <c r="AO35" s="12">
        <v>4</v>
      </c>
      <c r="AP35" s="12">
        <v>4.5</v>
      </c>
      <c r="AQ35" s="12">
        <v>5.5</v>
      </c>
      <c r="AR35" s="12">
        <v>54</v>
      </c>
      <c r="AS35" s="11">
        <v>216.6</v>
      </c>
      <c r="AT35" s="28">
        <v>12</v>
      </c>
      <c r="AU35" s="29">
        <v>12</v>
      </c>
      <c r="AV35" s="12">
        <v>61.65</v>
      </c>
      <c r="AW35" s="27" t="s">
        <v>164</v>
      </c>
      <c r="AX35" s="27">
        <v>3.4</v>
      </c>
      <c r="AY35" s="12">
        <v>9</v>
      </c>
      <c r="AZ35" s="12">
        <v>9</v>
      </c>
      <c r="BA35" s="12">
        <v>9</v>
      </c>
      <c r="BB35" s="12">
        <v>9</v>
      </c>
      <c r="BC35" s="12">
        <v>8.5</v>
      </c>
      <c r="BD35" s="12">
        <v>9.5</v>
      </c>
      <c r="BE35" s="12">
        <v>9.5</v>
      </c>
      <c r="BF35" s="12">
        <v>91.8</v>
      </c>
      <c r="BG35" s="11">
        <v>308.39999999999998</v>
      </c>
      <c r="BH35" s="28">
        <v>5</v>
      </c>
      <c r="BI35" s="29">
        <v>9</v>
      </c>
      <c r="BJ35" s="12">
        <v>63.45</v>
      </c>
      <c r="BK35" s="27" t="s">
        <v>265</v>
      </c>
      <c r="BL35" s="27">
        <v>4.0999999999999996</v>
      </c>
      <c r="BM35" s="12">
        <v>2.5</v>
      </c>
      <c r="BN35" s="12">
        <v>2.5</v>
      </c>
      <c r="BO35" s="12">
        <v>2.5</v>
      </c>
      <c r="BP35" s="12">
        <v>2.5</v>
      </c>
      <c r="BQ35" s="12">
        <v>2.5</v>
      </c>
      <c r="BR35" s="12">
        <v>3</v>
      </c>
      <c r="BS35" s="12">
        <v>2.5</v>
      </c>
      <c r="BT35" s="12">
        <v>30.75</v>
      </c>
      <c r="BU35" s="11">
        <v>339.15</v>
      </c>
      <c r="BV35" s="28">
        <v>12</v>
      </c>
      <c r="BW35" s="29">
        <v>11</v>
      </c>
      <c r="BX35" s="12">
        <v>138.15</v>
      </c>
      <c r="BY35" s="27" t="s">
        <v>177</v>
      </c>
      <c r="BZ35" s="27">
        <v>3.8</v>
      </c>
      <c r="CA35" s="12">
        <v>7.5</v>
      </c>
      <c r="CB35" s="12">
        <v>7</v>
      </c>
      <c r="CC35" s="12">
        <v>6.5</v>
      </c>
      <c r="CD35" s="12">
        <v>7</v>
      </c>
      <c r="CE35" s="12">
        <v>6.5</v>
      </c>
      <c r="CF35" s="12">
        <v>7.5</v>
      </c>
      <c r="CG35" s="12">
        <v>7</v>
      </c>
      <c r="CH35" s="12">
        <v>79.8</v>
      </c>
      <c r="CI35" s="11">
        <v>418.95</v>
      </c>
      <c r="CJ35" s="28">
        <v>9</v>
      </c>
      <c r="CK35" s="29">
        <v>10</v>
      </c>
      <c r="CL35" s="12">
        <v>166.35</v>
      </c>
      <c r="CM35" s="22">
        <v>2016</v>
      </c>
      <c r="CN35" s="22" t="s">
        <v>175</v>
      </c>
      <c r="CO35" s="22" t="s">
        <v>141</v>
      </c>
    </row>
    <row r="36" spans="1:93" x14ac:dyDescent="0.35">
      <c r="A36" s="22">
        <v>11</v>
      </c>
      <c r="B36" s="22" t="s">
        <v>188</v>
      </c>
      <c r="C36" s="22" t="s">
        <v>192</v>
      </c>
      <c r="D36" s="22">
        <v>18</v>
      </c>
      <c r="E36" s="6">
        <v>414.55</v>
      </c>
      <c r="F36" s="6">
        <v>170.75</v>
      </c>
      <c r="G36" s="27" t="s">
        <v>7</v>
      </c>
      <c r="H36" s="27">
        <v>3</v>
      </c>
      <c r="I36" s="12">
        <v>8.5</v>
      </c>
      <c r="J36" s="12">
        <v>8</v>
      </c>
      <c r="K36" s="12">
        <v>8.5</v>
      </c>
      <c r="L36" s="12">
        <v>8.5</v>
      </c>
      <c r="M36" s="12">
        <v>8.5</v>
      </c>
      <c r="N36" s="12">
        <v>8.5</v>
      </c>
      <c r="O36" s="12">
        <v>8.5</v>
      </c>
      <c r="P36" s="12">
        <v>76.5</v>
      </c>
      <c r="Q36" s="11">
        <v>76.5</v>
      </c>
      <c r="R36" s="28">
        <v>9</v>
      </c>
      <c r="S36" s="29">
        <v>9</v>
      </c>
      <c r="T36" s="12">
        <v>20.399999999999999</v>
      </c>
      <c r="U36" s="27" t="s">
        <v>137</v>
      </c>
      <c r="V36" s="27">
        <v>3.2</v>
      </c>
      <c r="W36" s="12">
        <v>8</v>
      </c>
      <c r="X36" s="12">
        <v>8.5</v>
      </c>
      <c r="Y36" s="12">
        <v>8</v>
      </c>
      <c r="Z36" s="12">
        <v>8.5</v>
      </c>
      <c r="AA36" s="12">
        <v>8.5</v>
      </c>
      <c r="AB36" s="12">
        <v>9</v>
      </c>
      <c r="AC36" s="12">
        <v>8.5</v>
      </c>
      <c r="AD36" s="12">
        <v>81.599999999999994</v>
      </c>
      <c r="AE36" s="11">
        <v>158.1</v>
      </c>
      <c r="AF36" s="28">
        <f>6</f>
        <v>6</v>
      </c>
      <c r="AG36" s="29">
        <v>8</v>
      </c>
      <c r="AH36" s="12">
        <v>24.5</v>
      </c>
      <c r="AI36" s="27" t="s">
        <v>164</v>
      </c>
      <c r="AJ36" s="27">
        <v>3.4</v>
      </c>
      <c r="AK36" s="12">
        <v>8.5</v>
      </c>
      <c r="AL36" s="12">
        <v>9</v>
      </c>
      <c r="AM36" s="12">
        <v>8.5</v>
      </c>
      <c r="AN36" s="12">
        <v>8</v>
      </c>
      <c r="AO36" s="12">
        <v>8.5</v>
      </c>
      <c r="AP36" s="12">
        <v>8</v>
      </c>
      <c r="AQ36" s="12">
        <v>8</v>
      </c>
      <c r="AR36" s="12">
        <v>85</v>
      </c>
      <c r="AS36" s="11">
        <v>243.1</v>
      </c>
      <c r="AT36" s="28">
        <v>6</v>
      </c>
      <c r="AU36" s="29">
        <v>8</v>
      </c>
      <c r="AV36" s="12">
        <v>35.15</v>
      </c>
      <c r="AW36" s="27" t="s">
        <v>234</v>
      </c>
      <c r="AX36" s="27">
        <v>3.6</v>
      </c>
      <c r="AY36" s="12">
        <v>5.5</v>
      </c>
      <c r="AZ36" s="12">
        <v>6</v>
      </c>
      <c r="BA36" s="12">
        <v>5.5</v>
      </c>
      <c r="BB36" s="12">
        <v>4.5</v>
      </c>
      <c r="BC36" s="12">
        <v>5</v>
      </c>
      <c r="BD36" s="12">
        <v>4.5</v>
      </c>
      <c r="BE36" s="12">
        <v>6.5</v>
      </c>
      <c r="BF36" s="12">
        <v>57.6</v>
      </c>
      <c r="BG36" s="11">
        <v>300.7</v>
      </c>
      <c r="BH36" s="28">
        <v>10</v>
      </c>
      <c r="BI36" s="29">
        <v>10</v>
      </c>
      <c r="BJ36" s="12">
        <v>71.150000000000006</v>
      </c>
      <c r="BK36" s="27" t="s">
        <v>240</v>
      </c>
      <c r="BL36" s="27">
        <v>3.5</v>
      </c>
      <c r="BM36" s="12">
        <v>4.5</v>
      </c>
      <c r="BN36" s="12">
        <v>5</v>
      </c>
      <c r="BO36" s="12">
        <v>4</v>
      </c>
      <c r="BP36" s="12">
        <v>4.5</v>
      </c>
      <c r="BQ36" s="12">
        <v>4.5</v>
      </c>
      <c r="BR36" s="12">
        <v>5</v>
      </c>
      <c r="BS36" s="12">
        <v>4.5</v>
      </c>
      <c r="BT36" s="12">
        <v>47.25</v>
      </c>
      <c r="BU36" s="11">
        <v>347.95</v>
      </c>
      <c r="BV36" s="28">
        <v>10</v>
      </c>
      <c r="BW36" s="29">
        <v>10</v>
      </c>
      <c r="BX36" s="12">
        <v>129.35</v>
      </c>
      <c r="BY36" s="27" t="s">
        <v>236</v>
      </c>
      <c r="BZ36" s="27">
        <v>3.6</v>
      </c>
      <c r="CA36" s="12">
        <v>7</v>
      </c>
      <c r="CB36" s="12">
        <v>7</v>
      </c>
      <c r="CC36" s="12">
        <v>6.5</v>
      </c>
      <c r="CD36" s="12">
        <v>6</v>
      </c>
      <c r="CE36" s="12">
        <v>5.5</v>
      </c>
      <c r="CF36" s="12">
        <v>4</v>
      </c>
      <c r="CG36" s="12">
        <v>6</v>
      </c>
      <c r="CH36" s="12">
        <v>66.599999999999994</v>
      </c>
      <c r="CI36" s="11">
        <v>414.55</v>
      </c>
      <c r="CJ36" s="28">
        <v>11</v>
      </c>
      <c r="CK36" s="29">
        <v>11</v>
      </c>
      <c r="CL36" s="12">
        <v>170.75</v>
      </c>
      <c r="CM36" s="22">
        <v>2016</v>
      </c>
      <c r="CN36" s="22" t="s">
        <v>175</v>
      </c>
      <c r="CO36" s="22" t="s">
        <v>141</v>
      </c>
    </row>
    <row r="37" spans="1:93" x14ac:dyDescent="0.35">
      <c r="A37" s="22">
        <v>12</v>
      </c>
      <c r="B37" s="22" t="s">
        <v>12</v>
      </c>
      <c r="C37" s="22" t="s">
        <v>266</v>
      </c>
      <c r="D37" s="22">
        <v>21</v>
      </c>
      <c r="E37" s="6">
        <v>403.8</v>
      </c>
      <c r="F37" s="6">
        <v>181.5</v>
      </c>
      <c r="G37" s="27" t="s">
        <v>137</v>
      </c>
      <c r="H37" s="27">
        <v>3.2</v>
      </c>
      <c r="I37" s="12">
        <v>7.5</v>
      </c>
      <c r="J37" s="12">
        <v>7.5</v>
      </c>
      <c r="K37" s="12">
        <v>7.5</v>
      </c>
      <c r="L37" s="12">
        <v>7</v>
      </c>
      <c r="M37" s="12">
        <v>7</v>
      </c>
      <c r="N37" s="12">
        <v>8</v>
      </c>
      <c r="O37" s="12">
        <v>7.5</v>
      </c>
      <c r="P37" s="12">
        <v>72</v>
      </c>
      <c r="Q37" s="11">
        <v>72</v>
      </c>
      <c r="R37" s="28">
        <v>10</v>
      </c>
      <c r="S37" s="29">
        <v>10</v>
      </c>
      <c r="T37" s="12">
        <v>24.9</v>
      </c>
      <c r="U37" s="27" t="s">
        <v>235</v>
      </c>
      <c r="V37" s="27">
        <v>3.6</v>
      </c>
      <c r="W37" s="12">
        <v>8</v>
      </c>
      <c r="X37" s="12">
        <v>8</v>
      </c>
      <c r="Y37" s="12">
        <v>8</v>
      </c>
      <c r="Z37" s="12">
        <v>8</v>
      </c>
      <c r="AA37" s="12">
        <v>8</v>
      </c>
      <c r="AB37" s="12">
        <v>8</v>
      </c>
      <c r="AC37" s="12">
        <v>8</v>
      </c>
      <c r="AD37" s="12">
        <v>86.4</v>
      </c>
      <c r="AE37" s="11">
        <v>158.4</v>
      </c>
      <c r="AF37" s="28">
        <v>5</v>
      </c>
      <c r="AG37" s="29">
        <v>7</v>
      </c>
      <c r="AH37" s="12">
        <v>24.2</v>
      </c>
      <c r="AI37" s="27" t="s">
        <v>174</v>
      </c>
      <c r="AJ37" s="27">
        <v>3.7</v>
      </c>
      <c r="AK37" s="12">
        <v>7</v>
      </c>
      <c r="AL37" s="12">
        <v>5.5</v>
      </c>
      <c r="AM37" s="12">
        <v>6.5</v>
      </c>
      <c r="AN37" s="12">
        <v>6</v>
      </c>
      <c r="AO37" s="12">
        <v>6.5</v>
      </c>
      <c r="AP37" s="12">
        <v>6</v>
      </c>
      <c r="AQ37" s="12">
        <v>6</v>
      </c>
      <c r="AR37" s="12">
        <v>68.45</v>
      </c>
      <c r="AS37" s="11">
        <v>226.85</v>
      </c>
      <c r="AT37" s="28">
        <v>11</v>
      </c>
      <c r="AU37" s="29">
        <v>11</v>
      </c>
      <c r="AV37" s="12">
        <v>51.4</v>
      </c>
      <c r="AW37" s="27" t="s">
        <v>139</v>
      </c>
      <c r="AX37" s="27">
        <v>3.3</v>
      </c>
      <c r="AY37" s="12">
        <v>4.5</v>
      </c>
      <c r="AZ37" s="12">
        <v>4.5</v>
      </c>
      <c r="BA37" s="12">
        <v>4.5</v>
      </c>
      <c r="BB37" s="12">
        <v>4</v>
      </c>
      <c r="BC37" s="12">
        <v>4.5</v>
      </c>
      <c r="BD37" s="12">
        <v>4.5</v>
      </c>
      <c r="BE37" s="12">
        <v>5</v>
      </c>
      <c r="BF37" s="12">
        <v>44.55</v>
      </c>
      <c r="BG37" s="11">
        <v>271.39999999999998</v>
      </c>
      <c r="BH37" s="28">
        <v>11</v>
      </c>
      <c r="BI37" s="29">
        <v>12</v>
      </c>
      <c r="BJ37" s="12">
        <v>100.45</v>
      </c>
      <c r="BK37" s="27" t="s">
        <v>164</v>
      </c>
      <c r="BL37" s="27">
        <v>3.4</v>
      </c>
      <c r="BM37" s="12">
        <v>4</v>
      </c>
      <c r="BN37" s="12">
        <v>5</v>
      </c>
      <c r="BO37" s="12">
        <v>3.5</v>
      </c>
      <c r="BP37" s="12">
        <v>3.5</v>
      </c>
      <c r="BQ37" s="12">
        <v>5.5</v>
      </c>
      <c r="BR37" s="12">
        <v>4.5</v>
      </c>
      <c r="BS37" s="12">
        <v>4.5</v>
      </c>
      <c r="BT37" s="12">
        <v>44.2</v>
      </c>
      <c r="BU37" s="11">
        <v>315.60000000000002</v>
      </c>
      <c r="BV37" s="28">
        <v>11</v>
      </c>
      <c r="BW37" s="29">
        <v>12</v>
      </c>
      <c r="BX37" s="12">
        <v>161.69999999999999</v>
      </c>
      <c r="BY37" s="27" t="s">
        <v>236</v>
      </c>
      <c r="BZ37" s="27">
        <v>3.6</v>
      </c>
      <c r="CA37" s="12">
        <v>8.5</v>
      </c>
      <c r="CB37" s="12">
        <v>8.5</v>
      </c>
      <c r="CC37" s="12">
        <v>7.5</v>
      </c>
      <c r="CD37" s="12">
        <v>8</v>
      </c>
      <c r="CE37" s="12">
        <v>8.5</v>
      </c>
      <c r="CF37" s="12">
        <v>8</v>
      </c>
      <c r="CG37" s="12">
        <v>8</v>
      </c>
      <c r="CH37" s="12">
        <v>88.2</v>
      </c>
      <c r="CI37" s="11">
        <v>403.8</v>
      </c>
      <c r="CJ37" s="28">
        <v>5</v>
      </c>
      <c r="CK37" s="29">
        <v>12</v>
      </c>
      <c r="CL37" s="12">
        <v>181.5</v>
      </c>
      <c r="CM37" s="22">
        <v>2016</v>
      </c>
      <c r="CN37" s="22" t="s">
        <v>175</v>
      </c>
      <c r="CO37" s="22" t="s">
        <v>141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9F1D4C-DF7F-4375-9B61-05F10C92F64D}">
  <dimension ref="A1:B31"/>
  <sheetViews>
    <sheetView workbookViewId="0">
      <selection activeCell="C12" sqref="C12"/>
    </sheetView>
  </sheetViews>
  <sheetFormatPr defaultRowHeight="14.5" x14ac:dyDescent="0.35"/>
  <cols>
    <col min="1" max="1" width="8.7265625" style="32"/>
    <col min="2" max="2" width="37.7265625" style="32" bestFit="1" customWidth="1"/>
  </cols>
  <sheetData>
    <row r="1" spans="1:2" x14ac:dyDescent="0.35">
      <c r="A1" s="32" t="s">
        <v>300</v>
      </c>
      <c r="B1" s="32" t="s">
        <v>301</v>
      </c>
    </row>
    <row r="2" spans="1:2" x14ac:dyDescent="0.35">
      <c r="A2" s="36" t="s">
        <v>7</v>
      </c>
      <c r="B2" s="37" t="s">
        <v>302</v>
      </c>
    </row>
    <row r="3" spans="1:2" x14ac:dyDescent="0.35">
      <c r="A3" s="36" t="s">
        <v>42</v>
      </c>
      <c r="B3" s="37" t="s">
        <v>303</v>
      </c>
    </row>
    <row r="4" spans="1:2" x14ac:dyDescent="0.35">
      <c r="A4" s="38" t="s">
        <v>241</v>
      </c>
      <c r="B4" s="39" t="s">
        <v>304</v>
      </c>
    </row>
    <row r="5" spans="1:2" x14ac:dyDescent="0.35">
      <c r="A5" s="38" t="s">
        <v>174</v>
      </c>
      <c r="B5" s="39" t="s">
        <v>305</v>
      </c>
    </row>
    <row r="6" spans="1:2" x14ac:dyDescent="0.35">
      <c r="A6" s="36" t="s">
        <v>5</v>
      </c>
      <c r="B6" s="37" t="s">
        <v>306</v>
      </c>
    </row>
    <row r="7" spans="1:2" x14ac:dyDescent="0.35">
      <c r="A7" s="36" t="s">
        <v>43</v>
      </c>
      <c r="B7" s="37" t="s">
        <v>307</v>
      </c>
    </row>
    <row r="8" spans="1:2" x14ac:dyDescent="0.35">
      <c r="A8" s="38" t="s">
        <v>234</v>
      </c>
      <c r="B8" s="37" t="s">
        <v>308</v>
      </c>
    </row>
    <row r="9" spans="1:2" x14ac:dyDescent="0.35">
      <c r="A9" s="38" t="s">
        <v>139</v>
      </c>
      <c r="B9" s="37" t="s">
        <v>309</v>
      </c>
    </row>
    <row r="10" spans="1:2" x14ac:dyDescent="0.35">
      <c r="A10" s="36" t="s">
        <v>6</v>
      </c>
      <c r="B10" s="37" t="s">
        <v>310</v>
      </c>
    </row>
    <row r="11" spans="1:2" x14ac:dyDescent="0.35">
      <c r="A11" s="36" t="s">
        <v>23</v>
      </c>
      <c r="B11" s="37" t="s">
        <v>311</v>
      </c>
    </row>
    <row r="12" spans="1:2" x14ac:dyDescent="0.35">
      <c r="A12" s="38" t="s">
        <v>164</v>
      </c>
      <c r="B12" s="37" t="s">
        <v>312</v>
      </c>
    </row>
    <row r="13" spans="1:2" x14ac:dyDescent="0.35">
      <c r="A13" s="36" t="s">
        <v>4</v>
      </c>
      <c r="B13" s="37" t="s">
        <v>313</v>
      </c>
    </row>
    <row r="14" spans="1:2" x14ac:dyDescent="0.35">
      <c r="A14" s="36" t="s">
        <v>26</v>
      </c>
      <c r="B14" s="37" t="s">
        <v>314</v>
      </c>
    </row>
    <row r="15" spans="1:2" x14ac:dyDescent="0.35">
      <c r="A15" s="38" t="s">
        <v>173</v>
      </c>
      <c r="B15" s="37" t="s">
        <v>315</v>
      </c>
    </row>
    <row r="16" spans="1:2" x14ac:dyDescent="0.35">
      <c r="A16" s="38" t="s">
        <v>137</v>
      </c>
      <c r="B16" s="37" t="s">
        <v>316</v>
      </c>
    </row>
    <row r="17" spans="1:2" x14ac:dyDescent="0.35">
      <c r="A17" s="40" t="s">
        <v>265</v>
      </c>
      <c r="B17" s="32" t="s">
        <v>317</v>
      </c>
    </row>
    <row r="18" spans="1:2" x14ac:dyDescent="0.35">
      <c r="A18" s="36" t="s">
        <v>8</v>
      </c>
      <c r="B18" s="37" t="s">
        <v>318</v>
      </c>
    </row>
    <row r="19" spans="1:2" x14ac:dyDescent="0.35">
      <c r="A19" s="36" t="s">
        <v>13</v>
      </c>
      <c r="B19" s="37" t="s">
        <v>319</v>
      </c>
    </row>
    <row r="20" spans="1:2" x14ac:dyDescent="0.35">
      <c r="A20" s="40" t="s">
        <v>177</v>
      </c>
      <c r="B20" s="32" t="s">
        <v>320</v>
      </c>
    </row>
    <row r="21" spans="1:2" x14ac:dyDescent="0.35">
      <c r="A21" s="40" t="s">
        <v>178</v>
      </c>
      <c r="B21" s="32" t="s">
        <v>321</v>
      </c>
    </row>
    <row r="22" spans="1:2" x14ac:dyDescent="0.35">
      <c r="A22" s="38" t="s">
        <v>140</v>
      </c>
      <c r="B22" s="37" t="s">
        <v>322</v>
      </c>
    </row>
    <row r="23" spans="1:2" x14ac:dyDescent="0.35">
      <c r="A23" s="40" t="s">
        <v>236</v>
      </c>
      <c r="B23" s="32" t="s">
        <v>323</v>
      </c>
    </row>
    <row r="24" spans="1:2" x14ac:dyDescent="0.35">
      <c r="A24" s="38" t="s">
        <v>176</v>
      </c>
      <c r="B24" s="37" t="s">
        <v>324</v>
      </c>
    </row>
    <row r="25" spans="1:2" x14ac:dyDescent="0.35">
      <c r="A25" s="38" t="s">
        <v>172</v>
      </c>
      <c r="B25" s="37" t="s">
        <v>325</v>
      </c>
    </row>
    <row r="26" spans="1:2" x14ac:dyDescent="0.35">
      <c r="A26" s="40" t="s">
        <v>205</v>
      </c>
      <c r="B26" s="32" t="s">
        <v>326</v>
      </c>
    </row>
    <row r="27" spans="1:2" x14ac:dyDescent="0.35">
      <c r="A27" s="38" t="s">
        <v>252</v>
      </c>
      <c r="B27" s="37" t="s">
        <v>298</v>
      </c>
    </row>
    <row r="28" spans="1:2" x14ac:dyDescent="0.35">
      <c r="A28" s="38" t="s">
        <v>138</v>
      </c>
      <c r="B28" s="37" t="s">
        <v>327</v>
      </c>
    </row>
    <row r="29" spans="1:2" x14ac:dyDescent="0.35">
      <c r="A29" s="38" t="s">
        <v>235</v>
      </c>
      <c r="B29" s="32" t="s">
        <v>328</v>
      </c>
    </row>
    <row r="30" spans="1:2" x14ac:dyDescent="0.35">
      <c r="A30" s="38" t="s">
        <v>240</v>
      </c>
      <c r="B30" s="32" t="s">
        <v>296</v>
      </c>
    </row>
    <row r="31" spans="1:2" x14ac:dyDescent="0.35">
      <c r="A31" s="38" t="s">
        <v>143</v>
      </c>
      <c r="B31" s="32" t="s">
        <v>297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57D7E5-6E34-480F-9854-76161BD56939}">
  <dimension ref="A1:C792"/>
  <sheetViews>
    <sheetView zoomScale="90" workbookViewId="0">
      <selection activeCell="H31" sqref="H31"/>
    </sheetView>
  </sheetViews>
  <sheetFormatPr defaultRowHeight="14.5" x14ac:dyDescent="0.35"/>
  <sheetData>
    <row r="1" spans="1:3" x14ac:dyDescent="0.35">
      <c r="A1" s="5" t="s">
        <v>4</v>
      </c>
      <c r="B1" s="4">
        <v>3.2</v>
      </c>
    </row>
    <row r="2" spans="1:3" x14ac:dyDescent="0.35">
      <c r="A2" s="5" t="s">
        <v>5</v>
      </c>
      <c r="B2" s="4">
        <v>3.3</v>
      </c>
    </row>
    <row r="3" spans="1:3" ht="15.5" x14ac:dyDescent="0.35">
      <c r="A3" s="5" t="s">
        <v>4</v>
      </c>
      <c r="B3" s="5" t="s">
        <v>7</v>
      </c>
      <c r="C3" s="18" t="s">
        <v>270</v>
      </c>
    </row>
    <row r="4" spans="1:3" ht="15.5" x14ac:dyDescent="0.35">
      <c r="A4" s="5" t="s">
        <v>5</v>
      </c>
      <c r="B4" s="5" t="s">
        <v>42</v>
      </c>
      <c r="C4" s="18" t="s">
        <v>271</v>
      </c>
    </row>
    <row r="5" spans="1:3" ht="38" x14ac:dyDescent="0.35">
      <c r="A5" s="5" t="s">
        <v>8</v>
      </c>
      <c r="B5" s="4" t="s">
        <v>241</v>
      </c>
      <c r="C5" s="19" t="s">
        <v>272</v>
      </c>
    </row>
    <row r="6" spans="1:3" ht="38" x14ac:dyDescent="0.35">
      <c r="A6" s="5" t="s">
        <v>4</v>
      </c>
      <c r="B6" s="3" t="s">
        <v>174</v>
      </c>
      <c r="C6" s="19" t="s">
        <v>273</v>
      </c>
    </row>
    <row r="7" spans="1:3" ht="15.5" x14ac:dyDescent="0.35">
      <c r="A7" s="5" t="s">
        <v>4</v>
      </c>
      <c r="B7" s="5" t="s">
        <v>5</v>
      </c>
      <c r="C7" s="18" t="s">
        <v>274</v>
      </c>
    </row>
    <row r="8" spans="1:3" ht="15.5" x14ac:dyDescent="0.35">
      <c r="A8" s="5" t="s">
        <v>4</v>
      </c>
      <c r="B8" s="5" t="s">
        <v>43</v>
      </c>
      <c r="C8" s="18" t="s">
        <v>275</v>
      </c>
    </row>
    <row r="9" spans="1:3" ht="15.5" x14ac:dyDescent="0.35">
      <c r="A9" s="5" t="s">
        <v>5</v>
      </c>
      <c r="B9" s="4" t="s">
        <v>234</v>
      </c>
      <c r="C9" s="18" t="s">
        <v>276</v>
      </c>
    </row>
    <row r="10" spans="1:3" ht="15.5" x14ac:dyDescent="0.35">
      <c r="A10" s="5" t="s">
        <v>4</v>
      </c>
      <c r="B10" s="4" t="s">
        <v>139</v>
      </c>
      <c r="C10" s="18" t="s">
        <v>277</v>
      </c>
    </row>
    <row r="11" spans="1:3" ht="15.5" x14ac:dyDescent="0.35">
      <c r="A11" s="5" t="s">
        <v>4</v>
      </c>
      <c r="B11" s="5" t="s">
        <v>6</v>
      </c>
      <c r="C11" s="18" t="s">
        <v>278</v>
      </c>
    </row>
    <row r="12" spans="1:3" ht="15.5" x14ac:dyDescent="0.35">
      <c r="A12" s="5" t="s">
        <v>4</v>
      </c>
      <c r="B12" s="5" t="s">
        <v>23</v>
      </c>
      <c r="C12" s="18" t="s">
        <v>279</v>
      </c>
    </row>
    <row r="13" spans="1:3" ht="15.5" x14ac:dyDescent="0.35">
      <c r="A13" s="5" t="s">
        <v>4</v>
      </c>
      <c r="B13" s="4" t="s">
        <v>164</v>
      </c>
      <c r="C13" s="18" t="s">
        <v>280</v>
      </c>
    </row>
    <row r="14" spans="1:3" ht="15.5" x14ac:dyDescent="0.35">
      <c r="A14" s="5" t="s">
        <v>4</v>
      </c>
      <c r="B14" s="5" t="s">
        <v>4</v>
      </c>
      <c r="C14" s="18" t="s">
        <v>281</v>
      </c>
    </row>
    <row r="15" spans="1:3" ht="15.5" x14ac:dyDescent="0.35">
      <c r="A15" s="5" t="s">
        <v>4</v>
      </c>
      <c r="B15" s="5" t="s">
        <v>26</v>
      </c>
      <c r="C15" s="18" t="s">
        <v>282</v>
      </c>
    </row>
    <row r="16" spans="1:3" ht="15.5" x14ac:dyDescent="0.35">
      <c r="A16" s="5" t="s">
        <v>4</v>
      </c>
      <c r="B16" s="3" t="s">
        <v>173</v>
      </c>
      <c r="C16" s="18" t="s">
        <v>283</v>
      </c>
    </row>
    <row r="17" spans="1:3" ht="15.5" x14ac:dyDescent="0.35">
      <c r="A17" s="5" t="s">
        <v>5</v>
      </c>
      <c r="B17" s="4" t="s">
        <v>137</v>
      </c>
      <c r="C17" s="18" t="s">
        <v>284</v>
      </c>
    </row>
    <row r="18" spans="1:3" x14ac:dyDescent="0.35">
      <c r="A18" s="5" t="s">
        <v>4</v>
      </c>
      <c r="B18" s="20" t="s">
        <v>265</v>
      </c>
      <c r="C18" t="s">
        <v>290</v>
      </c>
    </row>
    <row r="19" spans="1:3" ht="15.5" x14ac:dyDescent="0.35">
      <c r="A19" s="5" t="s">
        <v>5</v>
      </c>
      <c r="B19" s="5" t="s">
        <v>8</v>
      </c>
      <c r="C19" s="18" t="s">
        <v>285</v>
      </c>
    </row>
    <row r="20" spans="1:3" ht="15.5" x14ac:dyDescent="0.35">
      <c r="A20" s="5" t="s">
        <v>4</v>
      </c>
      <c r="B20" s="5" t="s">
        <v>13</v>
      </c>
      <c r="C20" s="18" t="s">
        <v>286</v>
      </c>
    </row>
    <row r="21" spans="1:3" x14ac:dyDescent="0.35">
      <c r="A21" s="5" t="s">
        <v>26</v>
      </c>
      <c r="B21" s="21" t="s">
        <v>177</v>
      </c>
      <c r="C21" t="s">
        <v>291</v>
      </c>
    </row>
    <row r="22" spans="1:3" x14ac:dyDescent="0.35">
      <c r="A22" s="5" t="s">
        <v>8</v>
      </c>
      <c r="B22" s="21" t="s">
        <v>178</v>
      </c>
      <c r="C22" t="s">
        <v>292</v>
      </c>
    </row>
    <row r="23" spans="1:3" ht="15.5" x14ac:dyDescent="0.35">
      <c r="A23" s="5" t="s">
        <v>4</v>
      </c>
      <c r="B23" s="4" t="s">
        <v>140</v>
      </c>
      <c r="C23" s="18" t="s">
        <v>287</v>
      </c>
    </row>
    <row r="24" spans="1:3" x14ac:dyDescent="0.35">
      <c r="A24" s="5" t="s">
        <v>4</v>
      </c>
      <c r="B24" s="20" t="s">
        <v>236</v>
      </c>
      <c r="C24" t="s">
        <v>293</v>
      </c>
    </row>
    <row r="25" spans="1:3" ht="15.5" x14ac:dyDescent="0.35">
      <c r="A25" s="5" t="s">
        <v>4</v>
      </c>
      <c r="B25" s="3" t="s">
        <v>176</v>
      </c>
      <c r="C25" s="18" t="s">
        <v>288</v>
      </c>
    </row>
    <row r="26" spans="1:3" ht="15.5" x14ac:dyDescent="0.35">
      <c r="A26" s="5" t="s">
        <v>4</v>
      </c>
      <c r="B26" s="3" t="s">
        <v>172</v>
      </c>
      <c r="C26" s="18" t="s">
        <v>289</v>
      </c>
    </row>
    <row r="27" spans="1:3" x14ac:dyDescent="0.35">
      <c r="A27" s="5" t="s">
        <v>5</v>
      </c>
      <c r="B27" s="21" t="s">
        <v>205</v>
      </c>
      <c r="C27" t="s">
        <v>294</v>
      </c>
    </row>
    <row r="28" spans="1:3" ht="15.5" x14ac:dyDescent="0.35">
      <c r="A28" s="5" t="s">
        <v>4</v>
      </c>
      <c r="B28" s="4" t="s">
        <v>252</v>
      </c>
      <c r="C28" s="18" t="s">
        <v>298</v>
      </c>
    </row>
    <row r="29" spans="1:3" ht="15.5" x14ac:dyDescent="0.35">
      <c r="A29" s="5" t="s">
        <v>5</v>
      </c>
      <c r="B29" s="4" t="s">
        <v>138</v>
      </c>
      <c r="C29" s="18" t="s">
        <v>295</v>
      </c>
    </row>
    <row r="30" spans="1:3" x14ac:dyDescent="0.35">
      <c r="A30" s="5" t="s">
        <v>4</v>
      </c>
      <c r="B30" s="4" t="s">
        <v>235</v>
      </c>
      <c r="C30" t="s">
        <v>299</v>
      </c>
    </row>
    <row r="31" spans="1:3" x14ac:dyDescent="0.35">
      <c r="A31" s="5" t="s">
        <v>5</v>
      </c>
      <c r="B31" s="4" t="s">
        <v>240</v>
      </c>
      <c r="C31" t="s">
        <v>296</v>
      </c>
    </row>
    <row r="32" spans="1:3" x14ac:dyDescent="0.35">
      <c r="A32" s="5" t="s">
        <v>4</v>
      </c>
      <c r="B32" s="4" t="s">
        <v>143</v>
      </c>
      <c r="C32" t="s">
        <v>297</v>
      </c>
    </row>
    <row r="33" spans="1:1" x14ac:dyDescent="0.35">
      <c r="A33" s="5" t="s">
        <v>4</v>
      </c>
    </row>
    <row r="34" spans="1:1" x14ac:dyDescent="0.35">
      <c r="A34" s="5" t="s">
        <v>4</v>
      </c>
    </row>
    <row r="35" spans="1:1" x14ac:dyDescent="0.35">
      <c r="A35" s="5" t="s">
        <v>5</v>
      </c>
    </row>
    <row r="36" spans="1:1" x14ac:dyDescent="0.35">
      <c r="A36" s="5" t="s">
        <v>5</v>
      </c>
    </row>
    <row r="37" spans="1:1" x14ac:dyDescent="0.35">
      <c r="A37" s="5" t="s">
        <v>5</v>
      </c>
    </row>
    <row r="38" spans="1:1" x14ac:dyDescent="0.35">
      <c r="A38" s="5" t="s">
        <v>6</v>
      </c>
    </row>
    <row r="39" spans="1:1" x14ac:dyDescent="0.35">
      <c r="A39" s="5" t="s">
        <v>7</v>
      </c>
    </row>
    <row r="40" spans="1:1" x14ac:dyDescent="0.35">
      <c r="A40" s="5" t="s">
        <v>8</v>
      </c>
    </row>
    <row r="41" spans="1:1" x14ac:dyDescent="0.35">
      <c r="A41" s="5" t="s">
        <v>5</v>
      </c>
    </row>
    <row r="42" spans="1:1" x14ac:dyDescent="0.35">
      <c r="A42" s="5" t="s">
        <v>7</v>
      </c>
    </row>
    <row r="43" spans="1:1" x14ac:dyDescent="0.35">
      <c r="A43" s="5" t="s">
        <v>8</v>
      </c>
    </row>
    <row r="44" spans="1:1" x14ac:dyDescent="0.35">
      <c r="A44" s="5" t="s">
        <v>7</v>
      </c>
    </row>
    <row r="45" spans="1:1" x14ac:dyDescent="0.35">
      <c r="A45" s="5" t="s">
        <v>7</v>
      </c>
    </row>
    <row r="46" spans="1:1" x14ac:dyDescent="0.35">
      <c r="A46" s="5" t="s">
        <v>7</v>
      </c>
    </row>
    <row r="47" spans="1:1" x14ac:dyDescent="0.35">
      <c r="A47" s="5" t="s">
        <v>5</v>
      </c>
    </row>
    <row r="48" spans="1:1" x14ac:dyDescent="0.35">
      <c r="A48" s="5" t="s">
        <v>8</v>
      </c>
    </row>
    <row r="49" spans="1:1" x14ac:dyDescent="0.35">
      <c r="A49" s="5" t="s">
        <v>5</v>
      </c>
    </row>
    <row r="50" spans="1:1" x14ac:dyDescent="0.35">
      <c r="A50" s="5" t="s">
        <v>5</v>
      </c>
    </row>
    <row r="51" spans="1:1" x14ac:dyDescent="0.35">
      <c r="A51" s="5" t="s">
        <v>5</v>
      </c>
    </row>
    <row r="52" spans="1:1" x14ac:dyDescent="0.35">
      <c r="A52" s="5" t="s">
        <v>7</v>
      </c>
    </row>
    <row r="53" spans="1:1" x14ac:dyDescent="0.35">
      <c r="A53" s="5" t="s">
        <v>8</v>
      </c>
    </row>
    <row r="54" spans="1:1" x14ac:dyDescent="0.35">
      <c r="A54" s="5" t="s">
        <v>7</v>
      </c>
    </row>
    <row r="55" spans="1:1" x14ac:dyDescent="0.35">
      <c r="A55" s="5" t="s">
        <v>7</v>
      </c>
    </row>
    <row r="56" spans="1:1" x14ac:dyDescent="0.35">
      <c r="A56" s="5" t="s">
        <v>7</v>
      </c>
    </row>
    <row r="57" spans="1:1" x14ac:dyDescent="0.35">
      <c r="A57" s="5" t="s">
        <v>42</v>
      </c>
    </row>
    <row r="58" spans="1:1" x14ac:dyDescent="0.35">
      <c r="A58" s="5" t="s">
        <v>5</v>
      </c>
    </row>
    <row r="59" spans="1:1" x14ac:dyDescent="0.35">
      <c r="A59" s="5" t="s">
        <v>8</v>
      </c>
    </row>
    <row r="60" spans="1:1" x14ac:dyDescent="0.35">
      <c r="A60" s="5" t="s">
        <v>7</v>
      </c>
    </row>
    <row r="61" spans="1:1" x14ac:dyDescent="0.35">
      <c r="A61" s="5" t="s">
        <v>5</v>
      </c>
    </row>
    <row r="62" spans="1:1" x14ac:dyDescent="0.35">
      <c r="A62" s="5" t="s">
        <v>6</v>
      </c>
    </row>
    <row r="63" spans="1:1" x14ac:dyDescent="0.35">
      <c r="A63" s="5" t="s">
        <v>8</v>
      </c>
    </row>
    <row r="64" spans="1:1" x14ac:dyDescent="0.35">
      <c r="A64" s="5" t="s">
        <v>6</v>
      </c>
    </row>
    <row r="65" spans="1:1" x14ac:dyDescent="0.35">
      <c r="A65" s="5" t="s">
        <v>6</v>
      </c>
    </row>
    <row r="66" spans="1:1" x14ac:dyDescent="0.35">
      <c r="A66" s="5" t="s">
        <v>7</v>
      </c>
    </row>
    <row r="67" spans="1:1" x14ac:dyDescent="0.35">
      <c r="A67" s="5" t="s">
        <v>7</v>
      </c>
    </row>
    <row r="68" spans="1:1" x14ac:dyDescent="0.35">
      <c r="A68" s="5" t="s">
        <v>7</v>
      </c>
    </row>
    <row r="69" spans="1:1" x14ac:dyDescent="0.35">
      <c r="A69" s="5" t="s">
        <v>7</v>
      </c>
    </row>
    <row r="70" spans="1:1" x14ac:dyDescent="0.35">
      <c r="A70" s="5" t="s">
        <v>7</v>
      </c>
    </row>
    <row r="71" spans="1:1" x14ac:dyDescent="0.35">
      <c r="A71" s="5" t="s">
        <v>6</v>
      </c>
    </row>
    <row r="72" spans="1:1" x14ac:dyDescent="0.35">
      <c r="A72" s="5" t="s">
        <v>6</v>
      </c>
    </row>
    <row r="73" spans="1:1" x14ac:dyDescent="0.35">
      <c r="A73" s="5" t="s">
        <v>6</v>
      </c>
    </row>
    <row r="74" spans="1:1" x14ac:dyDescent="0.35">
      <c r="A74" s="5" t="s">
        <v>4</v>
      </c>
    </row>
    <row r="75" spans="1:1" x14ac:dyDescent="0.35">
      <c r="A75" s="5" t="s">
        <v>5</v>
      </c>
    </row>
    <row r="76" spans="1:1" x14ac:dyDescent="0.35">
      <c r="A76" s="5" t="s">
        <v>7</v>
      </c>
    </row>
    <row r="77" spans="1:1" x14ac:dyDescent="0.35">
      <c r="A77" s="5" t="s">
        <v>4</v>
      </c>
    </row>
    <row r="78" spans="1:1" x14ac:dyDescent="0.35">
      <c r="A78" s="5" t="s">
        <v>5</v>
      </c>
    </row>
    <row r="79" spans="1:1" x14ac:dyDescent="0.35">
      <c r="A79" s="5" t="s">
        <v>7</v>
      </c>
    </row>
    <row r="80" spans="1:1" x14ac:dyDescent="0.35">
      <c r="A80" s="5" t="s">
        <v>23</v>
      </c>
    </row>
    <row r="81" spans="1:1" x14ac:dyDescent="0.35">
      <c r="A81" s="5" t="s">
        <v>6</v>
      </c>
    </row>
    <row r="82" spans="1:1" x14ac:dyDescent="0.35">
      <c r="A82" s="5" t="s">
        <v>6</v>
      </c>
    </row>
    <row r="83" spans="1:1" x14ac:dyDescent="0.35">
      <c r="A83" s="5" t="s">
        <v>6</v>
      </c>
    </row>
    <row r="84" spans="1:1" x14ac:dyDescent="0.35">
      <c r="A84" s="5" t="s">
        <v>5</v>
      </c>
    </row>
    <row r="85" spans="1:1" x14ac:dyDescent="0.35">
      <c r="A85" s="5" t="s">
        <v>6</v>
      </c>
    </row>
    <row r="86" spans="1:1" x14ac:dyDescent="0.35">
      <c r="A86" s="5" t="s">
        <v>6</v>
      </c>
    </row>
    <row r="87" spans="1:1" x14ac:dyDescent="0.35">
      <c r="A87" s="5" t="s">
        <v>6</v>
      </c>
    </row>
    <row r="88" spans="1:1" x14ac:dyDescent="0.35">
      <c r="A88" s="5" t="s">
        <v>5</v>
      </c>
    </row>
    <row r="89" spans="1:1" x14ac:dyDescent="0.35">
      <c r="A89" s="5" t="s">
        <v>6</v>
      </c>
    </row>
    <row r="90" spans="1:1" x14ac:dyDescent="0.35">
      <c r="A90" s="5" t="s">
        <v>5</v>
      </c>
    </row>
    <row r="91" spans="1:1" x14ac:dyDescent="0.35">
      <c r="A91" s="5" t="s">
        <v>6</v>
      </c>
    </row>
    <row r="92" spans="1:1" x14ac:dyDescent="0.35">
      <c r="A92" s="5" t="s">
        <v>6</v>
      </c>
    </row>
    <row r="93" spans="1:1" x14ac:dyDescent="0.35">
      <c r="A93" s="5" t="s">
        <v>43</v>
      </c>
    </row>
    <row r="94" spans="1:1" x14ac:dyDescent="0.35">
      <c r="A94" s="5" t="s">
        <v>6</v>
      </c>
    </row>
    <row r="95" spans="1:1" x14ac:dyDescent="0.35">
      <c r="A95" s="5" t="s">
        <v>7</v>
      </c>
    </row>
    <row r="96" spans="1:1" x14ac:dyDescent="0.35">
      <c r="A96" s="5" t="s">
        <v>5</v>
      </c>
    </row>
    <row r="97" spans="1:1" x14ac:dyDescent="0.35">
      <c r="A97" s="5" t="s">
        <v>6</v>
      </c>
    </row>
    <row r="98" spans="1:1" x14ac:dyDescent="0.35">
      <c r="A98" s="5" t="s">
        <v>7</v>
      </c>
    </row>
    <row r="99" spans="1:1" x14ac:dyDescent="0.35">
      <c r="A99" s="5" t="s">
        <v>7</v>
      </c>
    </row>
    <row r="100" spans="1:1" x14ac:dyDescent="0.35">
      <c r="A100" s="5" t="s">
        <v>7</v>
      </c>
    </row>
    <row r="101" spans="1:1" x14ac:dyDescent="0.35">
      <c r="A101" s="5" t="s">
        <v>4</v>
      </c>
    </row>
    <row r="102" spans="1:1" x14ac:dyDescent="0.35">
      <c r="A102" s="5" t="s">
        <v>5</v>
      </c>
    </row>
    <row r="103" spans="1:1" x14ac:dyDescent="0.35">
      <c r="A103" s="5" t="s">
        <v>4</v>
      </c>
    </row>
    <row r="104" spans="1:1" x14ac:dyDescent="0.35">
      <c r="A104" s="5" t="s">
        <v>6</v>
      </c>
    </row>
    <row r="105" spans="1:1" x14ac:dyDescent="0.35">
      <c r="A105" s="5" t="s">
        <v>5</v>
      </c>
    </row>
    <row r="106" spans="1:1" x14ac:dyDescent="0.35">
      <c r="A106" s="5" t="s">
        <v>5</v>
      </c>
    </row>
    <row r="107" spans="1:1" x14ac:dyDescent="0.35">
      <c r="A107" s="5" t="s">
        <v>4</v>
      </c>
    </row>
    <row r="108" spans="1:1" x14ac:dyDescent="0.35">
      <c r="A108" s="5" t="s">
        <v>7</v>
      </c>
    </row>
    <row r="109" spans="1:1" x14ac:dyDescent="0.35">
      <c r="A109" s="5" t="s">
        <v>7</v>
      </c>
    </row>
    <row r="110" spans="1:1" x14ac:dyDescent="0.35">
      <c r="A110" s="5" t="s">
        <v>7</v>
      </c>
    </row>
    <row r="111" spans="1:1" x14ac:dyDescent="0.35">
      <c r="A111" s="5" t="s">
        <v>6</v>
      </c>
    </row>
    <row r="112" spans="1:1" x14ac:dyDescent="0.35">
      <c r="A112" s="5" t="s">
        <v>6</v>
      </c>
    </row>
    <row r="113" spans="1:1" x14ac:dyDescent="0.35">
      <c r="A113" s="5" t="s">
        <v>6</v>
      </c>
    </row>
    <row r="114" spans="1:1" x14ac:dyDescent="0.35">
      <c r="A114" s="5" t="s">
        <v>6</v>
      </c>
    </row>
    <row r="115" spans="1:1" x14ac:dyDescent="0.35">
      <c r="A115" s="5" t="s">
        <v>6</v>
      </c>
    </row>
    <row r="116" spans="1:1" x14ac:dyDescent="0.35">
      <c r="A116" s="5" t="s">
        <v>5</v>
      </c>
    </row>
    <row r="117" spans="1:1" x14ac:dyDescent="0.35">
      <c r="A117" s="5" t="s">
        <v>26</v>
      </c>
    </row>
    <row r="118" spans="1:1" x14ac:dyDescent="0.35">
      <c r="A118" s="5" t="s">
        <v>5</v>
      </c>
    </row>
    <row r="119" spans="1:1" x14ac:dyDescent="0.35">
      <c r="A119" s="5" t="s">
        <v>7</v>
      </c>
    </row>
    <row r="120" spans="1:1" x14ac:dyDescent="0.35">
      <c r="A120" s="5" t="s">
        <v>6</v>
      </c>
    </row>
    <row r="121" spans="1:1" x14ac:dyDescent="0.35">
      <c r="A121" s="5" t="s">
        <v>7</v>
      </c>
    </row>
    <row r="122" spans="1:1" x14ac:dyDescent="0.35">
      <c r="A122" s="5" t="s">
        <v>7</v>
      </c>
    </row>
    <row r="123" spans="1:1" x14ac:dyDescent="0.35">
      <c r="A123" s="5" t="s">
        <v>7</v>
      </c>
    </row>
    <row r="124" spans="1:1" x14ac:dyDescent="0.35">
      <c r="A124" s="5" t="s">
        <v>6</v>
      </c>
    </row>
    <row r="125" spans="1:1" x14ac:dyDescent="0.35">
      <c r="A125" s="5" t="s">
        <v>7</v>
      </c>
    </row>
    <row r="126" spans="1:1" x14ac:dyDescent="0.35">
      <c r="A126" s="5" t="s">
        <v>6</v>
      </c>
    </row>
    <row r="127" spans="1:1" x14ac:dyDescent="0.35">
      <c r="A127" s="5" t="s">
        <v>8</v>
      </c>
    </row>
    <row r="128" spans="1:1" x14ac:dyDescent="0.35">
      <c r="A128" s="5" t="s">
        <v>5</v>
      </c>
    </row>
    <row r="129" spans="1:1" x14ac:dyDescent="0.35">
      <c r="A129" s="5" t="s">
        <v>23</v>
      </c>
    </row>
    <row r="130" spans="1:1" x14ac:dyDescent="0.35">
      <c r="A130" s="5" t="s">
        <v>4</v>
      </c>
    </row>
    <row r="131" spans="1:1" x14ac:dyDescent="0.35">
      <c r="A131" s="5" t="s">
        <v>5</v>
      </c>
    </row>
    <row r="132" spans="1:1" x14ac:dyDescent="0.35">
      <c r="A132" s="5" t="s">
        <v>6</v>
      </c>
    </row>
    <row r="133" spans="1:1" x14ac:dyDescent="0.35">
      <c r="A133" s="5" t="s">
        <v>7</v>
      </c>
    </row>
    <row r="134" spans="1:1" x14ac:dyDescent="0.35">
      <c r="A134" s="5" t="s">
        <v>5</v>
      </c>
    </row>
    <row r="135" spans="1:1" x14ac:dyDescent="0.35">
      <c r="A135" s="5" t="s">
        <v>4</v>
      </c>
    </row>
    <row r="136" spans="1:1" x14ac:dyDescent="0.35">
      <c r="A136" s="5" t="s">
        <v>13</v>
      </c>
    </row>
    <row r="137" spans="1:1" x14ac:dyDescent="0.35">
      <c r="A137" s="5" t="s">
        <v>7</v>
      </c>
    </row>
    <row r="138" spans="1:1" x14ac:dyDescent="0.35">
      <c r="A138" s="5" t="s">
        <v>6</v>
      </c>
    </row>
    <row r="139" spans="1:1" x14ac:dyDescent="0.35">
      <c r="A139" s="5" t="s">
        <v>6</v>
      </c>
    </row>
    <row r="140" spans="1:1" x14ac:dyDescent="0.35">
      <c r="A140" s="5" t="s">
        <v>5</v>
      </c>
    </row>
    <row r="141" spans="1:1" x14ac:dyDescent="0.35">
      <c r="A141" s="5" t="s">
        <v>6</v>
      </c>
    </row>
    <row r="142" spans="1:1" x14ac:dyDescent="0.35">
      <c r="A142" s="5" t="s">
        <v>6</v>
      </c>
    </row>
    <row r="143" spans="1:1" x14ac:dyDescent="0.35">
      <c r="A143" s="5" t="s">
        <v>42</v>
      </c>
    </row>
    <row r="144" spans="1:1" x14ac:dyDescent="0.35">
      <c r="A144" s="5" t="s">
        <v>4</v>
      </c>
    </row>
    <row r="145" spans="1:1" x14ac:dyDescent="0.35">
      <c r="A145" s="5" t="s">
        <v>8</v>
      </c>
    </row>
    <row r="146" spans="1:1" x14ac:dyDescent="0.35">
      <c r="A146" s="5" t="s">
        <v>13</v>
      </c>
    </row>
    <row r="147" spans="1:1" x14ac:dyDescent="0.35">
      <c r="A147" s="5" t="s">
        <v>8</v>
      </c>
    </row>
    <row r="148" spans="1:1" x14ac:dyDescent="0.35">
      <c r="A148" s="5" t="s">
        <v>4</v>
      </c>
    </row>
    <row r="149" spans="1:1" x14ac:dyDescent="0.35">
      <c r="A149" s="5" t="s">
        <v>7</v>
      </c>
    </row>
    <row r="150" spans="1:1" x14ac:dyDescent="0.35">
      <c r="A150" s="5" t="s">
        <v>8</v>
      </c>
    </row>
    <row r="151" spans="1:1" x14ac:dyDescent="0.35">
      <c r="A151" s="5" t="s">
        <v>5</v>
      </c>
    </row>
    <row r="152" spans="1:1" x14ac:dyDescent="0.35">
      <c r="A152" s="5" t="s">
        <v>8</v>
      </c>
    </row>
    <row r="153" spans="1:1" x14ac:dyDescent="0.35">
      <c r="A153" s="5" t="s">
        <v>8</v>
      </c>
    </row>
    <row r="154" spans="1:1" x14ac:dyDescent="0.35">
      <c r="A154" s="5" t="s">
        <v>8</v>
      </c>
    </row>
    <row r="155" spans="1:1" x14ac:dyDescent="0.35">
      <c r="A155" s="5" t="s">
        <v>8</v>
      </c>
    </row>
    <row r="156" spans="1:1" x14ac:dyDescent="0.35">
      <c r="A156" s="5" t="s">
        <v>7</v>
      </c>
    </row>
    <row r="157" spans="1:1" x14ac:dyDescent="0.35">
      <c r="A157" s="5" t="s">
        <v>8</v>
      </c>
    </row>
    <row r="158" spans="1:1" x14ac:dyDescent="0.35">
      <c r="A158" s="5" t="s">
        <v>8</v>
      </c>
    </row>
    <row r="159" spans="1:1" x14ac:dyDescent="0.35">
      <c r="A159" s="5" t="s">
        <v>13</v>
      </c>
    </row>
    <row r="160" spans="1:1" x14ac:dyDescent="0.35">
      <c r="A160" s="5" t="s">
        <v>8</v>
      </c>
    </row>
    <row r="161" spans="1:1" x14ac:dyDescent="0.35">
      <c r="A161" s="5" t="s">
        <v>4</v>
      </c>
    </row>
    <row r="162" spans="1:1" x14ac:dyDescent="0.35">
      <c r="A162" s="5" t="s">
        <v>8</v>
      </c>
    </row>
    <row r="163" spans="1:1" x14ac:dyDescent="0.35">
      <c r="A163" s="5" t="s">
        <v>4</v>
      </c>
    </row>
    <row r="164" spans="1:1" x14ac:dyDescent="0.35">
      <c r="A164" s="5" t="s">
        <v>13</v>
      </c>
    </row>
    <row r="165" spans="1:1" x14ac:dyDescent="0.35">
      <c r="A165" s="5" t="s">
        <v>8</v>
      </c>
    </row>
    <row r="166" spans="1:1" x14ac:dyDescent="0.35">
      <c r="A166" s="5" t="s">
        <v>7</v>
      </c>
    </row>
    <row r="167" spans="1:1" x14ac:dyDescent="0.35">
      <c r="A167" s="5" t="s">
        <v>6</v>
      </c>
    </row>
    <row r="168" spans="1:1" x14ac:dyDescent="0.35">
      <c r="A168" s="5" t="s">
        <v>8</v>
      </c>
    </row>
    <row r="169" spans="1:1" x14ac:dyDescent="0.35">
      <c r="A169" s="5" t="s">
        <v>8</v>
      </c>
    </row>
    <row r="170" spans="1:1" x14ac:dyDescent="0.35">
      <c r="A170" s="5" t="s">
        <v>8</v>
      </c>
    </row>
    <row r="171" spans="1:1" x14ac:dyDescent="0.35">
      <c r="A171" s="5" t="s">
        <v>6</v>
      </c>
    </row>
    <row r="172" spans="1:1" x14ac:dyDescent="0.35">
      <c r="A172" s="5" t="s">
        <v>5</v>
      </c>
    </row>
    <row r="173" spans="1:1" x14ac:dyDescent="0.35">
      <c r="A173" s="5" t="s">
        <v>13</v>
      </c>
    </row>
    <row r="174" spans="1:1" x14ac:dyDescent="0.35">
      <c r="A174" s="5" t="s">
        <v>8</v>
      </c>
    </row>
    <row r="175" spans="1:1" x14ac:dyDescent="0.35">
      <c r="A175" s="5" t="s">
        <v>8</v>
      </c>
    </row>
    <row r="176" spans="1:1" x14ac:dyDescent="0.35">
      <c r="A176" s="5" t="s">
        <v>8</v>
      </c>
    </row>
    <row r="177" spans="1:1" x14ac:dyDescent="0.35">
      <c r="A177" s="5" t="s">
        <v>8</v>
      </c>
    </row>
    <row r="178" spans="1:1" x14ac:dyDescent="0.35">
      <c r="A178" s="5" t="s">
        <v>8</v>
      </c>
    </row>
    <row r="179" spans="1:1" x14ac:dyDescent="0.35">
      <c r="A179" s="5" t="s">
        <v>8</v>
      </c>
    </row>
    <row r="180" spans="1:1" x14ac:dyDescent="0.35">
      <c r="A180" s="5" t="s">
        <v>8</v>
      </c>
    </row>
    <row r="181" spans="1:1" x14ac:dyDescent="0.35">
      <c r="A181" s="4" t="s">
        <v>7</v>
      </c>
    </row>
    <row r="182" spans="1:1" x14ac:dyDescent="0.35">
      <c r="A182" s="4" t="s">
        <v>7</v>
      </c>
    </row>
    <row r="183" spans="1:1" x14ac:dyDescent="0.35">
      <c r="A183" s="4" t="s">
        <v>138</v>
      </c>
    </row>
    <row r="184" spans="1:1" x14ac:dyDescent="0.35">
      <c r="A184" s="4" t="s">
        <v>7</v>
      </c>
    </row>
    <row r="185" spans="1:1" x14ac:dyDescent="0.35">
      <c r="A185" s="4" t="s">
        <v>7</v>
      </c>
    </row>
    <row r="186" spans="1:1" x14ac:dyDescent="0.35">
      <c r="A186" s="4" t="s">
        <v>138</v>
      </c>
    </row>
    <row r="187" spans="1:1" x14ac:dyDescent="0.35">
      <c r="A187" s="4" t="s">
        <v>7</v>
      </c>
    </row>
    <row r="188" spans="1:1" x14ac:dyDescent="0.35">
      <c r="A188" s="4" t="s">
        <v>7</v>
      </c>
    </row>
    <row r="189" spans="1:1" x14ac:dyDescent="0.35">
      <c r="A189" s="4" t="s">
        <v>4</v>
      </c>
    </row>
    <row r="190" spans="1:1" x14ac:dyDescent="0.35">
      <c r="A190" s="4" t="s">
        <v>140</v>
      </c>
    </row>
    <row r="191" spans="1:1" x14ac:dyDescent="0.35">
      <c r="A191" s="4" t="s">
        <v>7</v>
      </c>
    </row>
    <row r="192" spans="1:1" x14ac:dyDescent="0.35">
      <c r="A192" s="4" t="s">
        <v>5</v>
      </c>
    </row>
    <row r="193" spans="1:1" x14ac:dyDescent="0.35">
      <c r="A193" s="4" t="s">
        <v>7</v>
      </c>
    </row>
    <row r="194" spans="1:1" x14ac:dyDescent="0.35">
      <c r="A194" s="4" t="s">
        <v>7</v>
      </c>
    </row>
    <row r="195" spans="1:1" x14ac:dyDescent="0.35">
      <c r="A195" s="4" t="s">
        <v>7</v>
      </c>
    </row>
    <row r="196" spans="1:1" x14ac:dyDescent="0.35">
      <c r="A196" s="4" t="s">
        <v>7</v>
      </c>
    </row>
    <row r="197" spans="1:1" x14ac:dyDescent="0.35">
      <c r="A197" s="4" t="s">
        <v>140</v>
      </c>
    </row>
    <row r="198" spans="1:1" x14ac:dyDescent="0.35">
      <c r="A198" s="4" t="s">
        <v>7</v>
      </c>
    </row>
    <row r="199" spans="1:1" x14ac:dyDescent="0.35">
      <c r="A199" s="4" t="s">
        <v>7</v>
      </c>
    </row>
    <row r="200" spans="1:1" x14ac:dyDescent="0.35">
      <c r="A200" s="4" t="s">
        <v>140</v>
      </c>
    </row>
    <row r="201" spans="1:1" x14ac:dyDescent="0.35">
      <c r="A201" s="4" t="s">
        <v>7</v>
      </c>
    </row>
    <row r="202" spans="1:1" x14ac:dyDescent="0.35">
      <c r="A202" s="4" t="s">
        <v>4</v>
      </c>
    </row>
    <row r="203" spans="1:1" x14ac:dyDescent="0.35">
      <c r="A203" s="4" t="s">
        <v>7</v>
      </c>
    </row>
    <row r="204" spans="1:1" x14ac:dyDescent="0.35">
      <c r="A204" s="4" t="s">
        <v>7</v>
      </c>
    </row>
    <row r="205" spans="1:1" x14ac:dyDescent="0.35">
      <c r="A205" s="14" t="s">
        <v>7</v>
      </c>
    </row>
    <row r="206" spans="1:1" x14ac:dyDescent="0.35">
      <c r="A206" s="4" t="s">
        <v>7</v>
      </c>
    </row>
    <row r="207" spans="1:1" x14ac:dyDescent="0.35">
      <c r="A207" s="4" t="s">
        <v>140</v>
      </c>
    </row>
    <row r="208" spans="1:1" x14ac:dyDescent="0.35">
      <c r="A208" s="4" t="s">
        <v>7</v>
      </c>
    </row>
    <row r="209" spans="1:1" x14ac:dyDescent="0.35">
      <c r="A209" s="4" t="s">
        <v>7</v>
      </c>
    </row>
    <row r="210" spans="1:1" x14ac:dyDescent="0.35">
      <c r="A210" s="4" t="s">
        <v>4</v>
      </c>
    </row>
    <row r="211" spans="1:1" x14ac:dyDescent="0.35">
      <c r="A211" s="4" t="s">
        <v>7</v>
      </c>
    </row>
    <row r="212" spans="1:1" x14ac:dyDescent="0.35">
      <c r="A212" s="4" t="s">
        <v>137</v>
      </c>
    </row>
    <row r="213" spans="1:1" x14ac:dyDescent="0.35">
      <c r="A213" s="4" t="s">
        <v>7</v>
      </c>
    </row>
    <row r="214" spans="1:1" x14ac:dyDescent="0.35">
      <c r="A214" s="4" t="s">
        <v>7</v>
      </c>
    </row>
    <row r="215" spans="1:1" x14ac:dyDescent="0.35">
      <c r="A215" s="4" t="s">
        <v>7</v>
      </c>
    </row>
    <row r="216" spans="1:1" x14ac:dyDescent="0.35">
      <c r="A216" s="4" t="s">
        <v>7</v>
      </c>
    </row>
    <row r="217" spans="1:1" x14ac:dyDescent="0.35">
      <c r="A217" s="4" t="s">
        <v>137</v>
      </c>
    </row>
    <row r="218" spans="1:1" x14ac:dyDescent="0.35">
      <c r="A218" s="4" t="s">
        <v>137</v>
      </c>
    </row>
    <row r="219" spans="1:1" x14ac:dyDescent="0.35">
      <c r="A219" s="4" t="s">
        <v>7</v>
      </c>
    </row>
    <row r="220" spans="1:1" x14ac:dyDescent="0.35">
      <c r="A220" s="4" t="s">
        <v>23</v>
      </c>
    </row>
    <row r="221" spans="1:1" x14ac:dyDescent="0.35">
      <c r="A221" s="4" t="s">
        <v>139</v>
      </c>
    </row>
    <row r="222" spans="1:1" x14ac:dyDescent="0.35">
      <c r="A222" s="4" t="s">
        <v>137</v>
      </c>
    </row>
    <row r="223" spans="1:1" x14ac:dyDescent="0.35">
      <c r="A223" s="4" t="s">
        <v>137</v>
      </c>
    </row>
    <row r="224" spans="1:1" x14ac:dyDescent="0.35">
      <c r="A224" s="4" t="s">
        <v>138</v>
      </c>
    </row>
    <row r="225" spans="1:1" x14ac:dyDescent="0.35">
      <c r="A225" s="4" t="s">
        <v>7</v>
      </c>
    </row>
    <row r="226" spans="1:1" x14ac:dyDescent="0.35">
      <c r="A226" s="4" t="s">
        <v>7</v>
      </c>
    </row>
    <row r="227" spans="1:1" x14ac:dyDescent="0.35">
      <c r="A227" s="4" t="s">
        <v>138</v>
      </c>
    </row>
    <row r="228" spans="1:1" x14ac:dyDescent="0.35">
      <c r="A228" s="4" t="s">
        <v>23</v>
      </c>
    </row>
    <row r="229" spans="1:1" x14ac:dyDescent="0.35">
      <c r="A229" s="4" t="s">
        <v>137</v>
      </c>
    </row>
    <row r="230" spans="1:1" x14ac:dyDescent="0.35">
      <c r="A230" s="4" t="s">
        <v>137</v>
      </c>
    </row>
    <row r="231" spans="1:1" x14ac:dyDescent="0.35">
      <c r="A231" s="4" t="s">
        <v>138</v>
      </c>
    </row>
    <row r="232" spans="1:1" x14ac:dyDescent="0.35">
      <c r="A232" s="4" t="s">
        <v>139</v>
      </c>
    </row>
    <row r="233" spans="1:1" x14ac:dyDescent="0.35">
      <c r="A233" s="4" t="s">
        <v>138</v>
      </c>
    </row>
    <row r="234" spans="1:1" x14ac:dyDescent="0.35">
      <c r="A234" s="4" t="s">
        <v>138</v>
      </c>
    </row>
    <row r="235" spans="1:1" x14ac:dyDescent="0.35">
      <c r="A235" s="4" t="s">
        <v>137</v>
      </c>
    </row>
    <row r="236" spans="1:1" x14ac:dyDescent="0.35">
      <c r="A236" s="4" t="s">
        <v>7</v>
      </c>
    </row>
    <row r="237" spans="1:1" x14ac:dyDescent="0.35">
      <c r="A237" s="4" t="s">
        <v>23</v>
      </c>
    </row>
    <row r="238" spans="1:1" x14ac:dyDescent="0.35">
      <c r="A238" s="4" t="s">
        <v>5</v>
      </c>
    </row>
    <row r="239" spans="1:1" x14ac:dyDescent="0.35">
      <c r="A239" s="4" t="s">
        <v>139</v>
      </c>
    </row>
    <row r="240" spans="1:1" x14ac:dyDescent="0.35">
      <c r="A240" s="4" t="s">
        <v>5</v>
      </c>
    </row>
    <row r="241" spans="1:1" x14ac:dyDescent="0.35">
      <c r="A241" s="14" t="s">
        <v>137</v>
      </c>
    </row>
    <row r="242" spans="1:1" x14ac:dyDescent="0.35">
      <c r="A242" s="4" t="s">
        <v>137</v>
      </c>
    </row>
    <row r="243" spans="1:1" x14ac:dyDescent="0.35">
      <c r="A243" s="4" t="s">
        <v>7</v>
      </c>
    </row>
    <row r="244" spans="1:1" x14ac:dyDescent="0.35">
      <c r="A244" s="4" t="s">
        <v>139</v>
      </c>
    </row>
    <row r="245" spans="1:1" x14ac:dyDescent="0.35">
      <c r="A245" s="4" t="s">
        <v>138</v>
      </c>
    </row>
    <row r="246" spans="1:1" x14ac:dyDescent="0.35">
      <c r="A246" s="4" t="s">
        <v>139</v>
      </c>
    </row>
    <row r="247" spans="1:1" x14ac:dyDescent="0.35">
      <c r="A247" s="4" t="s">
        <v>137</v>
      </c>
    </row>
    <row r="248" spans="1:1" x14ac:dyDescent="0.35">
      <c r="A248" s="4" t="s">
        <v>6</v>
      </c>
    </row>
    <row r="249" spans="1:1" x14ac:dyDescent="0.35">
      <c r="A249" s="4" t="s">
        <v>137</v>
      </c>
    </row>
    <row r="250" spans="1:1" x14ac:dyDescent="0.35">
      <c r="A250" s="4" t="s">
        <v>139</v>
      </c>
    </row>
    <row r="251" spans="1:1" x14ac:dyDescent="0.35">
      <c r="A251" s="4" t="s">
        <v>5</v>
      </c>
    </row>
    <row r="252" spans="1:1" x14ac:dyDescent="0.35">
      <c r="A252" s="4" t="s">
        <v>138</v>
      </c>
    </row>
    <row r="253" spans="1:1" x14ac:dyDescent="0.35">
      <c r="A253" s="4" t="s">
        <v>138</v>
      </c>
    </row>
    <row r="254" spans="1:1" x14ac:dyDescent="0.35">
      <c r="A254" s="4" t="s">
        <v>143</v>
      </c>
    </row>
    <row r="255" spans="1:1" x14ac:dyDescent="0.35">
      <c r="A255" s="4" t="s">
        <v>139</v>
      </c>
    </row>
    <row r="256" spans="1:1" x14ac:dyDescent="0.35">
      <c r="A256" s="4" t="s">
        <v>137</v>
      </c>
    </row>
    <row r="257" spans="1:1" x14ac:dyDescent="0.35">
      <c r="A257" s="4" t="s">
        <v>137</v>
      </c>
    </row>
    <row r="258" spans="1:1" x14ac:dyDescent="0.35">
      <c r="A258" s="4" t="s">
        <v>7</v>
      </c>
    </row>
    <row r="259" spans="1:1" x14ac:dyDescent="0.35">
      <c r="A259" s="4" t="s">
        <v>138</v>
      </c>
    </row>
    <row r="260" spans="1:1" x14ac:dyDescent="0.35">
      <c r="A260" s="4" t="s">
        <v>137</v>
      </c>
    </row>
    <row r="261" spans="1:1" x14ac:dyDescent="0.35">
      <c r="A261" s="4" t="s">
        <v>5</v>
      </c>
    </row>
    <row r="262" spans="1:1" x14ac:dyDescent="0.35">
      <c r="A262" s="4" t="s">
        <v>137</v>
      </c>
    </row>
    <row r="263" spans="1:1" x14ac:dyDescent="0.35">
      <c r="A263" s="4" t="s">
        <v>23</v>
      </c>
    </row>
    <row r="264" spans="1:1" x14ac:dyDescent="0.35">
      <c r="A264" s="4" t="s">
        <v>7</v>
      </c>
    </row>
    <row r="265" spans="1:1" x14ac:dyDescent="0.35">
      <c r="A265" s="4">
        <v>3.3</v>
      </c>
    </row>
    <row r="266" spans="1:1" x14ac:dyDescent="0.35">
      <c r="A266" s="4" t="s">
        <v>143</v>
      </c>
    </row>
    <row r="267" spans="1:1" x14ac:dyDescent="0.35">
      <c r="A267" s="4" t="s">
        <v>23</v>
      </c>
    </row>
    <row r="268" spans="1:1" x14ac:dyDescent="0.35">
      <c r="A268" s="4" t="s">
        <v>137</v>
      </c>
    </row>
    <row r="269" spans="1:1" x14ac:dyDescent="0.35">
      <c r="A269" s="4" t="s">
        <v>139</v>
      </c>
    </row>
    <row r="270" spans="1:1" x14ac:dyDescent="0.35">
      <c r="A270" s="4" t="s">
        <v>139</v>
      </c>
    </row>
    <row r="271" spans="1:1" x14ac:dyDescent="0.35">
      <c r="A271" s="4" t="s">
        <v>23</v>
      </c>
    </row>
    <row r="272" spans="1:1" x14ac:dyDescent="0.35">
      <c r="A272" s="4" t="s">
        <v>5</v>
      </c>
    </row>
    <row r="273" spans="1:1" x14ac:dyDescent="0.35">
      <c r="A273" s="4" t="s">
        <v>138</v>
      </c>
    </row>
    <row r="274" spans="1:1" x14ac:dyDescent="0.35">
      <c r="A274" s="4" t="s">
        <v>138</v>
      </c>
    </row>
    <row r="275" spans="1:1" x14ac:dyDescent="0.35">
      <c r="A275" s="4" t="s">
        <v>137</v>
      </c>
    </row>
    <row r="276" spans="1:1" x14ac:dyDescent="0.35">
      <c r="A276" s="4" t="s">
        <v>138</v>
      </c>
    </row>
    <row r="277" spans="1:1" x14ac:dyDescent="0.35">
      <c r="A277" s="14" t="s">
        <v>139</v>
      </c>
    </row>
    <row r="278" spans="1:1" x14ac:dyDescent="0.35">
      <c r="A278" s="4" t="s">
        <v>138</v>
      </c>
    </row>
    <row r="279" spans="1:1" x14ac:dyDescent="0.35">
      <c r="A279" s="4" t="s">
        <v>139</v>
      </c>
    </row>
    <row r="280" spans="1:1" x14ac:dyDescent="0.35">
      <c r="A280" s="4" t="s">
        <v>164</v>
      </c>
    </row>
    <row r="281" spans="1:1" x14ac:dyDescent="0.35">
      <c r="A281" s="4" t="s">
        <v>23</v>
      </c>
    </row>
    <row r="282" spans="1:1" x14ac:dyDescent="0.35">
      <c r="A282" s="4" t="s">
        <v>7</v>
      </c>
    </row>
    <row r="283" spans="1:1" x14ac:dyDescent="0.35">
      <c r="A283" s="4" t="s">
        <v>143</v>
      </c>
    </row>
    <row r="284" spans="1:1" x14ac:dyDescent="0.35">
      <c r="A284" s="4" t="s">
        <v>139</v>
      </c>
    </row>
    <row r="285" spans="1:1" x14ac:dyDescent="0.35">
      <c r="A285" s="4" t="s">
        <v>143</v>
      </c>
    </row>
    <row r="286" spans="1:1" x14ac:dyDescent="0.35">
      <c r="A286" s="4" t="s">
        <v>137</v>
      </c>
    </row>
    <row r="287" spans="1:1" x14ac:dyDescent="0.35">
      <c r="A287" s="4" t="s">
        <v>138</v>
      </c>
    </row>
    <row r="288" spans="1:1" x14ac:dyDescent="0.35">
      <c r="A288" s="4" t="s">
        <v>137</v>
      </c>
    </row>
    <row r="289" spans="1:1" x14ac:dyDescent="0.35">
      <c r="A289" s="4" t="s">
        <v>139</v>
      </c>
    </row>
    <row r="290" spans="1:1" x14ac:dyDescent="0.35">
      <c r="A290" s="4" t="s">
        <v>139</v>
      </c>
    </row>
    <row r="291" spans="1:1" x14ac:dyDescent="0.35">
      <c r="A291" s="4" t="s">
        <v>137</v>
      </c>
    </row>
    <row r="292" spans="1:1" x14ac:dyDescent="0.35">
      <c r="A292" s="4" t="s">
        <v>139</v>
      </c>
    </row>
    <row r="293" spans="1:1" x14ac:dyDescent="0.35">
      <c r="A293" s="4" t="s">
        <v>143</v>
      </c>
    </row>
    <row r="294" spans="1:1" x14ac:dyDescent="0.35">
      <c r="A294" s="4" t="s">
        <v>7</v>
      </c>
    </row>
    <row r="295" spans="1:1" x14ac:dyDescent="0.35">
      <c r="A295" s="4" t="s">
        <v>23</v>
      </c>
    </row>
    <row r="296" spans="1:1" x14ac:dyDescent="0.35">
      <c r="A296" s="4" t="s">
        <v>23</v>
      </c>
    </row>
    <row r="297" spans="1:1" x14ac:dyDescent="0.35">
      <c r="A297" s="4" t="s">
        <v>23</v>
      </c>
    </row>
    <row r="298" spans="1:1" x14ac:dyDescent="0.35">
      <c r="A298" s="4" t="s">
        <v>5</v>
      </c>
    </row>
    <row r="299" spans="1:1" x14ac:dyDescent="0.35">
      <c r="A299" s="4" t="s">
        <v>137</v>
      </c>
    </row>
    <row r="300" spans="1:1" x14ac:dyDescent="0.35">
      <c r="A300" s="4" t="s">
        <v>137</v>
      </c>
    </row>
    <row r="301" spans="1:1" x14ac:dyDescent="0.35">
      <c r="A301" s="4">
        <v>3.2</v>
      </c>
    </row>
    <row r="302" spans="1:1" x14ac:dyDescent="0.35">
      <c r="A302" s="4" t="s">
        <v>139</v>
      </c>
    </row>
    <row r="303" spans="1:1" x14ac:dyDescent="0.35">
      <c r="A303" s="4" t="s">
        <v>137</v>
      </c>
    </row>
    <row r="304" spans="1:1" x14ac:dyDescent="0.35">
      <c r="A304" s="4" t="s">
        <v>143</v>
      </c>
    </row>
    <row r="305" spans="1:1" x14ac:dyDescent="0.35">
      <c r="A305" s="4" t="s">
        <v>7</v>
      </c>
    </row>
    <row r="306" spans="1:1" x14ac:dyDescent="0.35">
      <c r="A306" s="4" t="s">
        <v>137</v>
      </c>
    </row>
    <row r="307" spans="1:1" x14ac:dyDescent="0.35">
      <c r="A307" s="4" t="s">
        <v>138</v>
      </c>
    </row>
    <row r="308" spans="1:1" x14ac:dyDescent="0.35">
      <c r="A308" s="4" t="s">
        <v>137</v>
      </c>
    </row>
    <row r="309" spans="1:1" x14ac:dyDescent="0.35">
      <c r="A309" s="4" t="s">
        <v>137</v>
      </c>
    </row>
    <row r="310" spans="1:1" x14ac:dyDescent="0.35">
      <c r="A310" s="4" t="s">
        <v>7</v>
      </c>
    </row>
    <row r="311" spans="1:1" x14ac:dyDescent="0.35">
      <c r="A311" s="4" t="s">
        <v>140</v>
      </c>
    </row>
    <row r="312" spans="1:1" x14ac:dyDescent="0.35">
      <c r="A312" s="4" t="s">
        <v>137</v>
      </c>
    </row>
    <row r="313" spans="1:1" x14ac:dyDescent="0.35">
      <c r="A313" s="14" t="s">
        <v>138</v>
      </c>
    </row>
    <row r="314" spans="1:1" x14ac:dyDescent="0.35">
      <c r="A314" s="4" t="s">
        <v>139</v>
      </c>
    </row>
    <row r="315" spans="1:1" x14ac:dyDescent="0.35">
      <c r="A315" s="4" t="s">
        <v>138</v>
      </c>
    </row>
    <row r="316" spans="1:1" x14ac:dyDescent="0.35">
      <c r="A316" s="4" t="s">
        <v>137</v>
      </c>
    </row>
    <row r="317" spans="1:1" x14ac:dyDescent="0.35">
      <c r="A317" s="4" t="s">
        <v>137</v>
      </c>
    </row>
    <row r="318" spans="1:1" x14ac:dyDescent="0.35">
      <c r="A318" s="4" t="s">
        <v>143</v>
      </c>
    </row>
    <row r="319" spans="1:1" x14ac:dyDescent="0.35">
      <c r="A319" s="4" t="s">
        <v>139</v>
      </c>
    </row>
    <row r="320" spans="1:1" x14ac:dyDescent="0.35">
      <c r="A320" s="4" t="s">
        <v>7</v>
      </c>
    </row>
    <row r="321" spans="1:1" x14ac:dyDescent="0.35">
      <c r="A321" s="4" t="s">
        <v>139</v>
      </c>
    </row>
    <row r="322" spans="1:1" x14ac:dyDescent="0.35">
      <c r="A322" s="4" t="s">
        <v>143</v>
      </c>
    </row>
    <row r="323" spans="1:1" x14ac:dyDescent="0.35">
      <c r="A323" s="4" t="s">
        <v>137</v>
      </c>
    </row>
    <row r="324" spans="1:1" x14ac:dyDescent="0.35">
      <c r="A324" s="4" t="s">
        <v>140</v>
      </c>
    </row>
    <row r="325" spans="1:1" x14ac:dyDescent="0.35">
      <c r="A325" s="4" t="s">
        <v>140</v>
      </c>
    </row>
    <row r="326" spans="1:1" x14ac:dyDescent="0.35">
      <c r="A326" s="4" t="s">
        <v>140</v>
      </c>
    </row>
    <row r="327" spans="1:1" x14ac:dyDescent="0.35">
      <c r="A327" s="4" t="s">
        <v>140</v>
      </c>
    </row>
    <row r="328" spans="1:1" x14ac:dyDescent="0.35">
      <c r="A328" s="4" t="s">
        <v>140</v>
      </c>
    </row>
    <row r="329" spans="1:1" x14ac:dyDescent="0.35">
      <c r="A329" s="4" t="s">
        <v>140</v>
      </c>
    </row>
    <row r="330" spans="1:1" x14ac:dyDescent="0.35">
      <c r="A330" s="4" t="s">
        <v>140</v>
      </c>
    </row>
    <row r="331" spans="1:1" x14ac:dyDescent="0.35">
      <c r="A331" s="4" t="s">
        <v>140</v>
      </c>
    </row>
    <row r="332" spans="1:1" x14ac:dyDescent="0.35">
      <c r="A332" s="4" t="s">
        <v>140</v>
      </c>
    </row>
    <row r="333" spans="1:1" x14ac:dyDescent="0.35">
      <c r="A333" s="4" t="s">
        <v>140</v>
      </c>
    </row>
    <row r="334" spans="1:1" x14ac:dyDescent="0.35">
      <c r="A334" s="4" t="s">
        <v>138</v>
      </c>
    </row>
    <row r="335" spans="1:1" x14ac:dyDescent="0.35">
      <c r="A335" s="4" t="s">
        <v>140</v>
      </c>
    </row>
    <row r="336" spans="1:1" x14ac:dyDescent="0.35">
      <c r="A336" s="4" t="s">
        <v>8</v>
      </c>
    </row>
    <row r="337" spans="1:1" x14ac:dyDescent="0.35">
      <c r="A337" s="4" t="s">
        <v>140</v>
      </c>
    </row>
    <row r="338" spans="1:1" x14ac:dyDescent="0.35">
      <c r="A338" s="4" t="s">
        <v>140</v>
      </c>
    </row>
    <row r="339" spans="1:1" x14ac:dyDescent="0.35">
      <c r="A339" s="4" t="s">
        <v>140</v>
      </c>
    </row>
    <row r="340" spans="1:1" x14ac:dyDescent="0.35">
      <c r="A340" s="4" t="s">
        <v>140</v>
      </c>
    </row>
    <row r="341" spans="1:1" x14ac:dyDescent="0.35">
      <c r="A341" s="4" t="s">
        <v>137</v>
      </c>
    </row>
    <row r="342" spans="1:1" x14ac:dyDescent="0.35">
      <c r="A342" s="4" t="s">
        <v>140</v>
      </c>
    </row>
    <row r="343" spans="1:1" x14ac:dyDescent="0.35">
      <c r="A343" s="4" t="s">
        <v>140</v>
      </c>
    </row>
    <row r="344" spans="1:1" x14ac:dyDescent="0.35">
      <c r="A344" s="4" t="s">
        <v>138</v>
      </c>
    </row>
    <row r="345" spans="1:1" x14ac:dyDescent="0.35">
      <c r="A345" s="4" t="s">
        <v>140</v>
      </c>
    </row>
    <row r="346" spans="1:1" x14ac:dyDescent="0.35">
      <c r="A346" s="4" t="s">
        <v>140</v>
      </c>
    </row>
    <row r="347" spans="1:1" x14ac:dyDescent="0.35">
      <c r="A347" s="4" t="s">
        <v>143</v>
      </c>
    </row>
    <row r="348" spans="1:1" x14ac:dyDescent="0.35">
      <c r="A348" s="4" t="s">
        <v>140</v>
      </c>
    </row>
    <row r="349" spans="1:1" x14ac:dyDescent="0.35">
      <c r="A349" s="14" t="s">
        <v>140</v>
      </c>
    </row>
    <row r="350" spans="1:1" x14ac:dyDescent="0.35">
      <c r="A350" s="4" t="s">
        <v>140</v>
      </c>
    </row>
    <row r="351" spans="1:1" x14ac:dyDescent="0.35">
      <c r="A351" s="4" t="s">
        <v>137</v>
      </c>
    </row>
    <row r="352" spans="1:1" x14ac:dyDescent="0.35">
      <c r="A352" s="4" t="s">
        <v>140</v>
      </c>
    </row>
    <row r="353" spans="1:1" x14ac:dyDescent="0.35">
      <c r="A353" s="4" t="s">
        <v>140</v>
      </c>
    </row>
    <row r="354" spans="1:1" x14ac:dyDescent="0.35">
      <c r="A354" s="4" t="s">
        <v>140</v>
      </c>
    </row>
    <row r="355" spans="1:1" x14ac:dyDescent="0.35">
      <c r="A355" s="4" t="s">
        <v>140</v>
      </c>
    </row>
    <row r="356" spans="1:1" x14ac:dyDescent="0.35">
      <c r="A356" s="4" t="s">
        <v>140</v>
      </c>
    </row>
    <row r="357" spans="1:1" x14ac:dyDescent="0.35">
      <c r="A357" s="4" t="s">
        <v>140</v>
      </c>
    </row>
    <row r="358" spans="1:1" x14ac:dyDescent="0.35">
      <c r="A358" s="4" t="s">
        <v>140</v>
      </c>
    </row>
    <row r="359" spans="1:1" x14ac:dyDescent="0.35">
      <c r="A359" s="4" t="s">
        <v>140</v>
      </c>
    </row>
    <row r="360" spans="1:1" x14ac:dyDescent="0.35">
      <c r="A360" s="4" t="s">
        <v>23</v>
      </c>
    </row>
    <row r="361" spans="1:1" x14ac:dyDescent="0.35">
      <c r="A361" s="3" t="s">
        <v>13</v>
      </c>
    </row>
    <row r="362" spans="1:1" x14ac:dyDescent="0.35">
      <c r="A362" s="3" t="s">
        <v>137</v>
      </c>
    </row>
    <row r="363" spans="1:1" x14ac:dyDescent="0.35">
      <c r="A363" s="3" t="s">
        <v>137</v>
      </c>
    </row>
    <row r="364" spans="1:1" x14ac:dyDescent="0.35">
      <c r="A364" s="3" t="s">
        <v>13</v>
      </c>
    </row>
    <row r="365" spans="1:1" x14ac:dyDescent="0.35">
      <c r="A365" s="3" t="s">
        <v>13</v>
      </c>
    </row>
    <row r="366" spans="1:1" x14ac:dyDescent="0.35">
      <c r="A366" s="3" t="s">
        <v>137</v>
      </c>
    </row>
    <row r="367" spans="1:1" x14ac:dyDescent="0.35">
      <c r="A367" s="3" t="s">
        <v>13</v>
      </c>
    </row>
    <row r="368" spans="1:1" x14ac:dyDescent="0.35">
      <c r="A368" s="3" t="s">
        <v>137</v>
      </c>
    </row>
    <row r="369" spans="1:1" x14ac:dyDescent="0.35">
      <c r="A369" s="3" t="s">
        <v>13</v>
      </c>
    </row>
    <row r="370" spans="1:1" x14ac:dyDescent="0.35">
      <c r="A370" s="3" t="s">
        <v>7</v>
      </c>
    </row>
    <row r="371" spans="1:1" x14ac:dyDescent="0.35">
      <c r="A371" s="3" t="s">
        <v>13</v>
      </c>
    </row>
    <row r="372" spans="1:1" x14ac:dyDescent="0.35">
      <c r="A372" s="3" t="s">
        <v>137</v>
      </c>
    </row>
    <row r="373" spans="1:1" x14ac:dyDescent="0.35">
      <c r="A373" s="3" t="s">
        <v>13</v>
      </c>
    </row>
    <row r="374" spans="1:1" x14ac:dyDescent="0.35">
      <c r="A374" s="3" t="s">
        <v>137</v>
      </c>
    </row>
    <row r="375" spans="1:1" x14ac:dyDescent="0.35">
      <c r="A375" s="3" t="s">
        <v>13</v>
      </c>
    </row>
    <row r="376" spans="1:1" x14ac:dyDescent="0.35">
      <c r="A376" s="3" t="s">
        <v>13</v>
      </c>
    </row>
    <row r="377" spans="1:1" x14ac:dyDescent="0.35">
      <c r="A377" s="3" t="s">
        <v>137</v>
      </c>
    </row>
    <row r="378" spans="1:1" x14ac:dyDescent="0.35">
      <c r="A378" s="3" t="s">
        <v>13</v>
      </c>
    </row>
    <row r="379" spans="1:1" x14ac:dyDescent="0.35">
      <c r="A379" s="3" t="s">
        <v>5</v>
      </c>
    </row>
    <row r="380" spans="1:1" x14ac:dyDescent="0.35">
      <c r="A380" s="3" t="s">
        <v>4</v>
      </c>
    </row>
    <row r="381" spans="1:1" x14ac:dyDescent="0.35">
      <c r="A381" s="3" t="s">
        <v>5</v>
      </c>
    </row>
    <row r="382" spans="1:1" x14ac:dyDescent="0.35">
      <c r="A382" s="3" t="s">
        <v>13</v>
      </c>
    </row>
    <row r="383" spans="1:1" x14ac:dyDescent="0.35">
      <c r="A383" s="3" t="s">
        <v>5</v>
      </c>
    </row>
    <row r="384" spans="1:1" x14ac:dyDescent="0.35">
      <c r="A384" s="3" t="s">
        <v>5</v>
      </c>
    </row>
    <row r="385" spans="1:1" x14ac:dyDescent="0.35">
      <c r="A385" s="3" t="s">
        <v>137</v>
      </c>
    </row>
    <row r="386" spans="1:1" x14ac:dyDescent="0.35">
      <c r="A386" s="3" t="s">
        <v>13</v>
      </c>
    </row>
    <row r="387" spans="1:1" x14ac:dyDescent="0.35">
      <c r="A387" s="3" t="s">
        <v>5</v>
      </c>
    </row>
    <row r="388" spans="1:1" x14ac:dyDescent="0.35">
      <c r="A388" s="3" t="s">
        <v>137</v>
      </c>
    </row>
    <row r="389" spans="1:1" x14ac:dyDescent="0.35">
      <c r="A389" s="3" t="s">
        <v>5</v>
      </c>
    </row>
    <row r="390" spans="1:1" x14ac:dyDescent="0.35">
      <c r="A390" s="3" t="s">
        <v>137</v>
      </c>
    </row>
    <row r="391" spans="1:1" x14ac:dyDescent="0.35">
      <c r="A391" s="3" t="s">
        <v>137</v>
      </c>
    </row>
    <row r="392" spans="1:1" x14ac:dyDescent="0.35">
      <c r="A392" s="3" t="s">
        <v>7</v>
      </c>
    </row>
    <row r="393" spans="1:1" x14ac:dyDescent="0.35">
      <c r="A393" s="3" t="s">
        <v>8</v>
      </c>
    </row>
    <row r="394" spans="1:1" x14ac:dyDescent="0.35">
      <c r="A394" s="3" t="s">
        <v>5</v>
      </c>
    </row>
    <row r="395" spans="1:1" x14ac:dyDescent="0.35">
      <c r="A395" s="3" t="s">
        <v>5</v>
      </c>
    </row>
    <row r="396" spans="1:1" x14ac:dyDescent="0.35">
      <c r="A396" s="3" t="s">
        <v>7</v>
      </c>
    </row>
    <row r="397" spans="1:1" x14ac:dyDescent="0.35">
      <c r="A397" s="3" t="s">
        <v>172</v>
      </c>
    </row>
    <row r="398" spans="1:1" x14ac:dyDescent="0.35">
      <c r="A398" s="3" t="s">
        <v>176</v>
      </c>
    </row>
    <row r="399" spans="1:1" x14ac:dyDescent="0.35">
      <c r="A399" s="3" t="s">
        <v>164</v>
      </c>
    </row>
    <row r="400" spans="1:1" x14ac:dyDescent="0.35">
      <c r="A400" s="3" t="s">
        <v>4</v>
      </c>
    </row>
    <row r="401" spans="1:1" x14ac:dyDescent="0.35">
      <c r="A401" s="3" t="s">
        <v>137</v>
      </c>
    </row>
    <row r="402" spans="1:1" x14ac:dyDescent="0.35">
      <c r="A402" s="3" t="s">
        <v>13</v>
      </c>
    </row>
    <row r="403" spans="1:1" x14ac:dyDescent="0.35">
      <c r="A403" s="3" t="s">
        <v>164</v>
      </c>
    </row>
    <row r="404" spans="1:1" x14ac:dyDescent="0.35">
      <c r="A404" s="3" t="s">
        <v>13</v>
      </c>
    </row>
    <row r="405" spans="1:1" x14ac:dyDescent="0.35">
      <c r="A405" s="3" t="s">
        <v>137</v>
      </c>
    </row>
    <row r="406" spans="1:1" x14ac:dyDescent="0.35">
      <c r="A406" s="3" t="s">
        <v>13</v>
      </c>
    </row>
    <row r="407" spans="1:1" x14ac:dyDescent="0.35">
      <c r="A407" s="3" t="s">
        <v>137</v>
      </c>
    </row>
    <row r="408" spans="1:1" x14ac:dyDescent="0.35">
      <c r="A408" s="3" t="s">
        <v>13</v>
      </c>
    </row>
    <row r="409" spans="1:1" x14ac:dyDescent="0.35">
      <c r="A409" s="3" t="s">
        <v>172</v>
      </c>
    </row>
    <row r="410" spans="1:1" x14ac:dyDescent="0.35">
      <c r="A410" s="3" t="s">
        <v>176</v>
      </c>
    </row>
    <row r="411" spans="1:1" x14ac:dyDescent="0.35">
      <c r="A411" s="3" t="s">
        <v>164</v>
      </c>
    </row>
    <row r="412" spans="1:1" x14ac:dyDescent="0.35">
      <c r="A412" s="3" t="s">
        <v>137</v>
      </c>
    </row>
    <row r="413" spans="1:1" x14ac:dyDescent="0.35">
      <c r="A413" s="3" t="s">
        <v>13</v>
      </c>
    </row>
    <row r="414" spans="1:1" x14ac:dyDescent="0.35">
      <c r="A414" s="3" t="s">
        <v>5</v>
      </c>
    </row>
    <row r="415" spans="1:1" x14ac:dyDescent="0.35">
      <c r="A415" s="3" t="s">
        <v>176</v>
      </c>
    </row>
    <row r="416" spans="1:1" x14ac:dyDescent="0.35">
      <c r="A416" s="3" t="s">
        <v>5</v>
      </c>
    </row>
    <row r="417" spans="1:1" x14ac:dyDescent="0.35">
      <c r="A417" s="3" t="s">
        <v>137</v>
      </c>
    </row>
    <row r="418" spans="1:1" x14ac:dyDescent="0.35">
      <c r="A418" s="3" t="s">
        <v>176</v>
      </c>
    </row>
    <row r="419" spans="1:1" x14ac:dyDescent="0.35">
      <c r="A419" s="3" t="s">
        <v>137</v>
      </c>
    </row>
    <row r="420" spans="1:1" x14ac:dyDescent="0.35">
      <c r="A420" s="3" t="s">
        <v>6</v>
      </c>
    </row>
    <row r="421" spans="1:1" x14ac:dyDescent="0.35">
      <c r="A421" s="3" t="s">
        <v>176</v>
      </c>
    </row>
    <row r="422" spans="1:1" x14ac:dyDescent="0.35">
      <c r="A422" s="3" t="s">
        <v>164</v>
      </c>
    </row>
    <row r="423" spans="1:1" x14ac:dyDescent="0.35">
      <c r="A423" s="3" t="s">
        <v>164</v>
      </c>
    </row>
    <row r="424" spans="1:1" x14ac:dyDescent="0.35">
      <c r="A424" s="3" t="s">
        <v>13</v>
      </c>
    </row>
    <row r="425" spans="1:1" x14ac:dyDescent="0.35">
      <c r="A425" s="3" t="s">
        <v>4</v>
      </c>
    </row>
    <row r="426" spans="1:1" x14ac:dyDescent="0.35">
      <c r="A426" s="3" t="s">
        <v>7</v>
      </c>
    </row>
    <row r="427" spans="1:1" x14ac:dyDescent="0.35">
      <c r="A427" s="3" t="s">
        <v>5</v>
      </c>
    </row>
    <row r="428" spans="1:1" x14ac:dyDescent="0.35">
      <c r="A428" s="3" t="s">
        <v>13</v>
      </c>
    </row>
    <row r="429" spans="1:1" x14ac:dyDescent="0.35">
      <c r="A429" s="3" t="s">
        <v>7</v>
      </c>
    </row>
    <row r="430" spans="1:1" x14ac:dyDescent="0.35">
      <c r="A430" s="3" t="s">
        <v>13</v>
      </c>
    </row>
    <row r="431" spans="1:1" x14ac:dyDescent="0.35">
      <c r="A431" s="3" t="s">
        <v>7</v>
      </c>
    </row>
    <row r="432" spans="1:1" x14ac:dyDescent="0.35">
      <c r="A432" s="3" t="s">
        <v>137</v>
      </c>
    </row>
    <row r="433" spans="1:1" x14ac:dyDescent="0.35">
      <c r="A433" s="3" t="s">
        <v>139</v>
      </c>
    </row>
    <row r="434" spans="1:1" x14ac:dyDescent="0.35">
      <c r="A434" s="3" t="s">
        <v>177</v>
      </c>
    </row>
    <row r="435" spans="1:1" x14ac:dyDescent="0.35">
      <c r="A435" s="3" t="s">
        <v>139</v>
      </c>
    </row>
    <row r="436" spans="1:1" x14ac:dyDescent="0.35">
      <c r="A436" s="3" t="s">
        <v>7</v>
      </c>
    </row>
    <row r="437" spans="1:1" x14ac:dyDescent="0.35">
      <c r="A437" s="3" t="s">
        <v>164</v>
      </c>
    </row>
    <row r="438" spans="1:1" x14ac:dyDescent="0.35">
      <c r="A438" s="3" t="s">
        <v>177</v>
      </c>
    </row>
    <row r="439" spans="1:1" x14ac:dyDescent="0.35">
      <c r="A439" s="3" t="s">
        <v>137</v>
      </c>
    </row>
    <row r="440" spans="1:1" x14ac:dyDescent="0.35">
      <c r="A440" s="3" t="s">
        <v>5</v>
      </c>
    </row>
    <row r="441" spans="1:1" x14ac:dyDescent="0.35">
      <c r="A441" s="3" t="s">
        <v>174</v>
      </c>
    </row>
    <row r="442" spans="1:1" x14ac:dyDescent="0.35">
      <c r="A442" s="3" t="s">
        <v>164</v>
      </c>
    </row>
    <row r="443" spans="1:1" x14ac:dyDescent="0.35">
      <c r="A443" s="3" t="s">
        <v>174</v>
      </c>
    </row>
    <row r="444" spans="1:1" x14ac:dyDescent="0.35">
      <c r="A444" s="3" t="s">
        <v>164</v>
      </c>
    </row>
    <row r="445" spans="1:1" x14ac:dyDescent="0.35">
      <c r="A445" s="3" t="s">
        <v>139</v>
      </c>
    </row>
    <row r="446" spans="1:1" x14ac:dyDescent="0.35">
      <c r="A446" s="3" t="s">
        <v>177</v>
      </c>
    </row>
    <row r="447" spans="1:1" x14ac:dyDescent="0.35">
      <c r="A447" s="3" t="s">
        <v>137</v>
      </c>
    </row>
    <row r="448" spans="1:1" x14ac:dyDescent="0.35">
      <c r="A448" s="3" t="s">
        <v>174</v>
      </c>
    </row>
    <row r="449" spans="1:1" x14ac:dyDescent="0.35">
      <c r="A449" s="3" t="s">
        <v>177</v>
      </c>
    </row>
    <row r="450" spans="1:1" x14ac:dyDescent="0.35">
      <c r="A450" s="3" t="s">
        <v>137</v>
      </c>
    </row>
    <row r="451" spans="1:1" x14ac:dyDescent="0.35">
      <c r="A451" s="3" t="s">
        <v>164</v>
      </c>
    </row>
    <row r="452" spans="1:1" x14ac:dyDescent="0.35">
      <c r="A452" s="3" t="s">
        <v>6</v>
      </c>
    </row>
    <row r="453" spans="1:1" x14ac:dyDescent="0.35">
      <c r="A453" s="3" t="s">
        <v>176</v>
      </c>
    </row>
    <row r="454" spans="1:1" x14ac:dyDescent="0.35">
      <c r="A454" s="3" t="s">
        <v>164</v>
      </c>
    </row>
    <row r="455" spans="1:1" x14ac:dyDescent="0.35">
      <c r="A455" s="3" t="s">
        <v>13</v>
      </c>
    </row>
    <row r="456" spans="1:1" x14ac:dyDescent="0.35">
      <c r="A456" s="3" t="s">
        <v>172</v>
      </c>
    </row>
    <row r="457" spans="1:1" x14ac:dyDescent="0.35">
      <c r="A457" s="3" t="s">
        <v>164</v>
      </c>
    </row>
    <row r="458" spans="1:1" x14ac:dyDescent="0.35">
      <c r="A458" s="3" t="s">
        <v>137</v>
      </c>
    </row>
    <row r="459" spans="1:1" x14ac:dyDescent="0.35">
      <c r="A459" s="3" t="s">
        <v>205</v>
      </c>
    </row>
    <row r="460" spans="1:1" x14ac:dyDescent="0.35">
      <c r="A460" s="3" t="s">
        <v>177</v>
      </c>
    </row>
    <row r="461" spans="1:1" x14ac:dyDescent="0.35">
      <c r="A461" s="3" t="s">
        <v>7</v>
      </c>
    </row>
    <row r="462" spans="1:1" x14ac:dyDescent="0.35">
      <c r="A462" s="3" t="s">
        <v>164</v>
      </c>
    </row>
    <row r="463" spans="1:1" x14ac:dyDescent="0.35">
      <c r="A463" s="3" t="s">
        <v>13</v>
      </c>
    </row>
    <row r="464" spans="1:1" x14ac:dyDescent="0.35">
      <c r="A464" s="3" t="s">
        <v>137</v>
      </c>
    </row>
    <row r="465" spans="1:1" x14ac:dyDescent="0.35">
      <c r="A465" s="3" t="s">
        <v>13</v>
      </c>
    </row>
    <row r="466" spans="1:1" x14ac:dyDescent="0.35">
      <c r="A466" s="3" t="s">
        <v>176</v>
      </c>
    </row>
    <row r="467" spans="1:1" x14ac:dyDescent="0.35">
      <c r="A467" s="3" t="s">
        <v>13</v>
      </c>
    </row>
    <row r="468" spans="1:1" x14ac:dyDescent="0.35">
      <c r="A468" s="3" t="s">
        <v>164</v>
      </c>
    </row>
    <row r="469" spans="1:1" x14ac:dyDescent="0.35">
      <c r="A469" s="3" t="s">
        <v>164</v>
      </c>
    </row>
    <row r="470" spans="1:1" x14ac:dyDescent="0.35">
      <c r="A470" s="3" t="s">
        <v>164</v>
      </c>
    </row>
    <row r="471" spans="1:1" x14ac:dyDescent="0.35">
      <c r="A471" s="3" t="s">
        <v>178</v>
      </c>
    </row>
    <row r="472" spans="1:1" x14ac:dyDescent="0.35">
      <c r="A472" s="3" t="s">
        <v>5</v>
      </c>
    </row>
    <row r="473" spans="1:1" x14ac:dyDescent="0.35">
      <c r="A473" s="3" t="s">
        <v>177</v>
      </c>
    </row>
    <row r="474" spans="1:1" x14ac:dyDescent="0.35">
      <c r="A474" s="3" t="s">
        <v>174</v>
      </c>
    </row>
    <row r="475" spans="1:1" x14ac:dyDescent="0.35">
      <c r="A475" s="3" t="s">
        <v>177</v>
      </c>
    </row>
    <row r="476" spans="1:1" x14ac:dyDescent="0.35">
      <c r="A476" s="3" t="s">
        <v>176</v>
      </c>
    </row>
    <row r="477" spans="1:1" x14ac:dyDescent="0.35">
      <c r="A477" s="3" t="s">
        <v>5</v>
      </c>
    </row>
    <row r="478" spans="1:1" x14ac:dyDescent="0.35">
      <c r="A478" s="3" t="s">
        <v>139</v>
      </c>
    </row>
    <row r="479" spans="1:1" x14ac:dyDescent="0.35">
      <c r="A479" s="3" t="s">
        <v>164</v>
      </c>
    </row>
    <row r="480" spans="1:1" x14ac:dyDescent="0.35">
      <c r="A480" s="3" t="s">
        <v>139</v>
      </c>
    </row>
    <row r="481" spans="1:1" x14ac:dyDescent="0.35">
      <c r="A481" s="3" t="s">
        <v>164</v>
      </c>
    </row>
    <row r="482" spans="1:1" x14ac:dyDescent="0.35">
      <c r="A482" s="3" t="s">
        <v>164</v>
      </c>
    </row>
    <row r="483" spans="1:1" x14ac:dyDescent="0.35">
      <c r="A483" s="3" t="s">
        <v>139</v>
      </c>
    </row>
    <row r="484" spans="1:1" x14ac:dyDescent="0.35">
      <c r="A484" s="3" t="s">
        <v>164</v>
      </c>
    </row>
    <row r="485" spans="1:1" x14ac:dyDescent="0.35">
      <c r="A485" s="3" t="s">
        <v>139</v>
      </c>
    </row>
    <row r="486" spans="1:1" x14ac:dyDescent="0.35">
      <c r="A486" s="3" t="s">
        <v>172</v>
      </c>
    </row>
    <row r="487" spans="1:1" x14ac:dyDescent="0.35">
      <c r="A487" s="3" t="s">
        <v>137</v>
      </c>
    </row>
    <row r="488" spans="1:1" x14ac:dyDescent="0.35">
      <c r="A488" s="3" t="s">
        <v>7</v>
      </c>
    </row>
    <row r="489" spans="1:1" x14ac:dyDescent="0.35">
      <c r="A489" s="3" t="s">
        <v>164</v>
      </c>
    </row>
    <row r="490" spans="1:1" x14ac:dyDescent="0.35">
      <c r="A490" s="3" t="s">
        <v>139</v>
      </c>
    </row>
    <row r="491" spans="1:1" x14ac:dyDescent="0.35">
      <c r="A491" s="3" t="s">
        <v>172</v>
      </c>
    </row>
    <row r="492" spans="1:1" x14ac:dyDescent="0.35">
      <c r="A492" s="3" t="s">
        <v>4</v>
      </c>
    </row>
    <row r="493" spans="1:1" x14ac:dyDescent="0.35">
      <c r="A493" s="3" t="s">
        <v>139</v>
      </c>
    </row>
    <row r="494" spans="1:1" x14ac:dyDescent="0.35">
      <c r="A494" s="3" t="s">
        <v>177</v>
      </c>
    </row>
    <row r="495" spans="1:1" x14ac:dyDescent="0.35">
      <c r="A495" s="3" t="s">
        <v>137</v>
      </c>
    </row>
    <row r="496" spans="1:1" x14ac:dyDescent="0.35">
      <c r="A496" s="3" t="s">
        <v>139</v>
      </c>
    </row>
    <row r="497" spans="1:1" x14ac:dyDescent="0.35">
      <c r="A497" s="3" t="s">
        <v>176</v>
      </c>
    </row>
    <row r="498" spans="1:1" x14ac:dyDescent="0.35">
      <c r="A498" s="3" t="s">
        <v>174</v>
      </c>
    </row>
    <row r="499" spans="1:1" x14ac:dyDescent="0.35">
      <c r="A499" s="3" t="s">
        <v>172</v>
      </c>
    </row>
    <row r="500" spans="1:1" x14ac:dyDescent="0.35">
      <c r="A500" s="3" t="s">
        <v>5</v>
      </c>
    </row>
    <row r="501" spans="1:1" x14ac:dyDescent="0.35">
      <c r="A501" s="3" t="s">
        <v>5</v>
      </c>
    </row>
    <row r="502" spans="1:1" x14ac:dyDescent="0.35">
      <c r="A502" s="3" t="s">
        <v>164</v>
      </c>
    </row>
    <row r="503" spans="1:1" x14ac:dyDescent="0.35">
      <c r="A503" s="3" t="s">
        <v>137</v>
      </c>
    </row>
    <row r="504" spans="1:1" x14ac:dyDescent="0.35">
      <c r="A504" s="3" t="s">
        <v>174</v>
      </c>
    </row>
    <row r="505" spans="1:1" x14ac:dyDescent="0.35">
      <c r="A505" s="3" t="s">
        <v>173</v>
      </c>
    </row>
    <row r="506" spans="1:1" x14ac:dyDescent="0.35">
      <c r="A506" s="3" t="s">
        <v>139</v>
      </c>
    </row>
    <row r="507" spans="1:1" x14ac:dyDescent="0.35">
      <c r="A507" s="3" t="s">
        <v>174</v>
      </c>
    </row>
    <row r="508" spans="1:1" x14ac:dyDescent="0.35">
      <c r="A508" s="3" t="s">
        <v>164</v>
      </c>
    </row>
    <row r="509" spans="1:1" x14ac:dyDescent="0.35">
      <c r="A509" s="3" t="s">
        <v>139</v>
      </c>
    </row>
    <row r="510" spans="1:1" x14ac:dyDescent="0.35">
      <c r="A510" s="3" t="s">
        <v>139</v>
      </c>
    </row>
    <row r="511" spans="1:1" x14ac:dyDescent="0.35">
      <c r="A511" s="3" t="s">
        <v>174</v>
      </c>
    </row>
    <row r="512" spans="1:1" x14ac:dyDescent="0.35">
      <c r="A512" s="3" t="s">
        <v>164</v>
      </c>
    </row>
    <row r="513" spans="1:1" x14ac:dyDescent="0.35">
      <c r="A513" s="3" t="s">
        <v>164</v>
      </c>
    </row>
    <row r="514" spans="1:1" x14ac:dyDescent="0.35">
      <c r="A514" s="3" t="s">
        <v>137</v>
      </c>
    </row>
    <row r="515" spans="1:1" x14ac:dyDescent="0.35">
      <c r="A515" s="3" t="s">
        <v>5</v>
      </c>
    </row>
    <row r="516" spans="1:1" x14ac:dyDescent="0.35">
      <c r="A516" s="3" t="s">
        <v>174</v>
      </c>
    </row>
    <row r="517" spans="1:1" x14ac:dyDescent="0.35">
      <c r="A517" s="3" t="s">
        <v>173</v>
      </c>
    </row>
    <row r="518" spans="1:1" x14ac:dyDescent="0.35">
      <c r="A518" s="3" t="s">
        <v>139</v>
      </c>
    </row>
    <row r="519" spans="1:1" x14ac:dyDescent="0.35">
      <c r="A519" s="3" t="s">
        <v>174</v>
      </c>
    </row>
    <row r="520" spans="1:1" x14ac:dyDescent="0.35">
      <c r="A520" s="3" t="s">
        <v>139</v>
      </c>
    </row>
    <row r="521" spans="1:1" x14ac:dyDescent="0.35">
      <c r="A521" s="3" t="s">
        <v>164</v>
      </c>
    </row>
    <row r="522" spans="1:1" x14ac:dyDescent="0.35">
      <c r="A522" s="3" t="s">
        <v>164</v>
      </c>
    </row>
    <row r="523" spans="1:1" x14ac:dyDescent="0.35">
      <c r="A523" s="3" t="s">
        <v>174</v>
      </c>
    </row>
    <row r="524" spans="1:1" x14ac:dyDescent="0.35">
      <c r="A524" s="3" t="s">
        <v>8</v>
      </c>
    </row>
    <row r="525" spans="1:1" x14ac:dyDescent="0.35">
      <c r="A525" s="3" t="s">
        <v>174</v>
      </c>
    </row>
    <row r="526" spans="1:1" x14ac:dyDescent="0.35">
      <c r="A526" s="3" t="s">
        <v>137</v>
      </c>
    </row>
    <row r="527" spans="1:1" x14ac:dyDescent="0.35">
      <c r="A527" s="3" t="s">
        <v>164</v>
      </c>
    </row>
    <row r="528" spans="1:1" x14ac:dyDescent="0.35">
      <c r="A528" s="3" t="s">
        <v>13</v>
      </c>
    </row>
    <row r="529" spans="1:1" x14ac:dyDescent="0.35">
      <c r="A529" s="3" t="s">
        <v>13</v>
      </c>
    </row>
    <row r="530" spans="1:1" x14ac:dyDescent="0.35">
      <c r="A530" s="3" t="s">
        <v>174</v>
      </c>
    </row>
    <row r="531" spans="1:1" x14ac:dyDescent="0.35">
      <c r="A531" s="3" t="s">
        <v>174</v>
      </c>
    </row>
    <row r="532" spans="1:1" x14ac:dyDescent="0.35">
      <c r="A532" s="3" t="s">
        <v>164</v>
      </c>
    </row>
    <row r="533" spans="1:1" x14ac:dyDescent="0.35">
      <c r="A533" s="3" t="s">
        <v>164</v>
      </c>
    </row>
    <row r="534" spans="1:1" x14ac:dyDescent="0.35">
      <c r="A534" s="3" t="s">
        <v>5</v>
      </c>
    </row>
    <row r="535" spans="1:1" x14ac:dyDescent="0.35">
      <c r="A535" s="3" t="s">
        <v>164</v>
      </c>
    </row>
    <row r="536" spans="1:1" x14ac:dyDescent="0.35">
      <c r="A536" s="3" t="s">
        <v>6</v>
      </c>
    </row>
    <row r="537" spans="1:1" x14ac:dyDescent="0.35">
      <c r="A537" s="3" t="s">
        <v>6</v>
      </c>
    </row>
    <row r="538" spans="1:1" x14ac:dyDescent="0.35">
      <c r="A538" s="3" t="s">
        <v>174</v>
      </c>
    </row>
    <row r="539" spans="1:1" x14ac:dyDescent="0.35">
      <c r="A539" s="3" t="s">
        <v>164</v>
      </c>
    </row>
    <row r="540" spans="1:1" x14ac:dyDescent="0.35">
      <c r="A540" s="3" t="s">
        <v>139</v>
      </c>
    </row>
    <row r="541" spans="1:1" x14ac:dyDescent="0.35">
      <c r="A541" s="3" t="s">
        <v>174</v>
      </c>
    </row>
    <row r="542" spans="1:1" x14ac:dyDescent="0.35">
      <c r="A542" s="3" t="s">
        <v>174</v>
      </c>
    </row>
    <row r="543" spans="1:1" x14ac:dyDescent="0.35">
      <c r="A543" s="3" t="s">
        <v>177</v>
      </c>
    </row>
    <row r="544" spans="1:1" x14ac:dyDescent="0.35">
      <c r="A544" s="3" t="s">
        <v>176</v>
      </c>
    </row>
    <row r="545" spans="1:1" x14ac:dyDescent="0.35">
      <c r="A545" s="3" t="s">
        <v>174</v>
      </c>
    </row>
    <row r="546" spans="1:1" x14ac:dyDescent="0.35">
      <c r="A546" s="3" t="s">
        <v>164</v>
      </c>
    </row>
    <row r="547" spans="1:1" x14ac:dyDescent="0.35">
      <c r="A547" s="3" t="s">
        <v>139</v>
      </c>
    </row>
    <row r="548" spans="1:1" x14ac:dyDescent="0.35">
      <c r="A548" s="3" t="s">
        <v>174</v>
      </c>
    </row>
    <row r="549" spans="1:1" x14ac:dyDescent="0.35">
      <c r="A549" s="3" t="s">
        <v>176</v>
      </c>
    </row>
    <row r="550" spans="1:1" x14ac:dyDescent="0.35">
      <c r="A550" s="3" t="s">
        <v>174</v>
      </c>
    </row>
    <row r="551" spans="1:1" x14ac:dyDescent="0.35">
      <c r="A551" s="3" t="s">
        <v>177</v>
      </c>
    </row>
    <row r="552" spans="1:1" x14ac:dyDescent="0.35">
      <c r="A552" s="3" t="s">
        <v>177</v>
      </c>
    </row>
    <row r="553" spans="1:1" x14ac:dyDescent="0.35">
      <c r="A553" s="3" t="s">
        <v>174</v>
      </c>
    </row>
    <row r="554" spans="1:1" x14ac:dyDescent="0.35">
      <c r="A554" s="3" t="s">
        <v>174</v>
      </c>
    </row>
    <row r="555" spans="1:1" x14ac:dyDescent="0.35">
      <c r="A555" s="3" t="s">
        <v>177</v>
      </c>
    </row>
    <row r="556" spans="1:1" x14ac:dyDescent="0.35">
      <c r="A556" s="3" t="s">
        <v>177</v>
      </c>
    </row>
    <row r="557" spans="1:1" x14ac:dyDescent="0.35">
      <c r="A557" s="3" t="s">
        <v>174</v>
      </c>
    </row>
    <row r="558" spans="1:1" x14ac:dyDescent="0.35">
      <c r="A558" s="3" t="s">
        <v>174</v>
      </c>
    </row>
    <row r="559" spans="1:1" x14ac:dyDescent="0.35">
      <c r="A559" s="3" t="s">
        <v>13</v>
      </c>
    </row>
    <row r="560" spans="1:1" x14ac:dyDescent="0.35">
      <c r="A560" s="3" t="s">
        <v>13</v>
      </c>
    </row>
    <row r="561" spans="1:1" x14ac:dyDescent="0.35">
      <c r="A561" s="3" t="s">
        <v>177</v>
      </c>
    </row>
    <row r="562" spans="1:1" x14ac:dyDescent="0.35">
      <c r="A562" s="3" t="s">
        <v>174</v>
      </c>
    </row>
    <row r="563" spans="1:1" x14ac:dyDescent="0.35">
      <c r="A563" s="3" t="s">
        <v>174</v>
      </c>
    </row>
    <row r="564" spans="1:1" x14ac:dyDescent="0.35">
      <c r="A564" s="3" t="s">
        <v>7</v>
      </c>
    </row>
    <row r="565" spans="1:1" x14ac:dyDescent="0.35">
      <c r="A565" s="3" t="s">
        <v>174</v>
      </c>
    </row>
    <row r="566" spans="1:1" x14ac:dyDescent="0.35">
      <c r="A566" s="3" t="s">
        <v>139</v>
      </c>
    </row>
    <row r="567" spans="1:1" x14ac:dyDescent="0.35">
      <c r="A567" s="3" t="s">
        <v>13</v>
      </c>
    </row>
    <row r="568" spans="1:1" x14ac:dyDescent="0.35">
      <c r="A568" s="3" t="s">
        <v>174</v>
      </c>
    </row>
    <row r="569" spans="1:1" x14ac:dyDescent="0.35">
      <c r="A569" s="3" t="s">
        <v>177</v>
      </c>
    </row>
    <row r="570" spans="1:1" x14ac:dyDescent="0.35">
      <c r="A570" s="3" t="s">
        <v>13</v>
      </c>
    </row>
    <row r="571" spans="1:1" x14ac:dyDescent="0.35">
      <c r="A571" s="3" t="s">
        <v>174</v>
      </c>
    </row>
    <row r="572" spans="1:1" x14ac:dyDescent="0.35">
      <c r="A572" s="3" t="s">
        <v>140</v>
      </c>
    </row>
    <row r="573" spans="1:1" x14ac:dyDescent="0.35">
      <c r="A573" s="3" t="s">
        <v>4</v>
      </c>
    </row>
    <row r="574" spans="1:1" x14ac:dyDescent="0.35">
      <c r="A574" s="3" t="s">
        <v>137</v>
      </c>
    </row>
    <row r="575" spans="1:1" x14ac:dyDescent="0.35">
      <c r="A575" s="3" t="s">
        <v>176</v>
      </c>
    </row>
    <row r="576" spans="1:1" x14ac:dyDescent="0.35">
      <c r="A576" s="3" t="s">
        <v>13</v>
      </c>
    </row>
    <row r="577" spans="1:1" x14ac:dyDescent="0.35">
      <c r="A577" s="4" t="s">
        <v>164</v>
      </c>
    </row>
    <row r="578" spans="1:1" x14ac:dyDescent="0.35">
      <c r="A578" s="4" t="s">
        <v>137</v>
      </c>
    </row>
    <row r="579" spans="1:1" x14ac:dyDescent="0.35">
      <c r="A579" s="4" t="s">
        <v>137</v>
      </c>
    </row>
    <row r="580" spans="1:1" x14ac:dyDescent="0.35">
      <c r="A580" s="4" t="s">
        <v>164</v>
      </c>
    </row>
    <row r="581" spans="1:1" x14ac:dyDescent="0.35">
      <c r="A581" s="4" t="s">
        <v>173</v>
      </c>
    </row>
    <row r="582" spans="1:1" x14ac:dyDescent="0.35">
      <c r="A582" s="4" t="s">
        <v>137</v>
      </c>
    </row>
    <row r="583" spans="1:1" x14ac:dyDescent="0.35">
      <c r="A583" s="4" t="s">
        <v>137</v>
      </c>
    </row>
    <row r="584" spans="1:1" x14ac:dyDescent="0.35">
      <c r="A584" s="4" t="s">
        <v>137</v>
      </c>
    </row>
    <row r="585" spans="1:1" x14ac:dyDescent="0.35">
      <c r="A585" s="4" t="s">
        <v>137</v>
      </c>
    </row>
    <row r="586" spans="1:1" x14ac:dyDescent="0.35">
      <c r="A586" s="4" t="s">
        <v>137</v>
      </c>
    </row>
    <row r="587" spans="1:1" x14ac:dyDescent="0.35">
      <c r="A587" s="4" t="s">
        <v>138</v>
      </c>
    </row>
    <row r="588" spans="1:1" x14ac:dyDescent="0.35">
      <c r="A588" s="4" t="s">
        <v>137</v>
      </c>
    </row>
    <row r="589" spans="1:1" x14ac:dyDescent="0.35">
      <c r="A589" s="4" t="s">
        <v>164</v>
      </c>
    </row>
    <row r="590" spans="1:1" x14ac:dyDescent="0.35">
      <c r="A590" s="4" t="s">
        <v>164</v>
      </c>
    </row>
    <row r="591" spans="1:1" x14ac:dyDescent="0.35">
      <c r="A591" s="4" t="s">
        <v>164</v>
      </c>
    </row>
    <row r="592" spans="1:1" x14ac:dyDescent="0.35">
      <c r="A592" s="4" t="s">
        <v>137</v>
      </c>
    </row>
    <row r="593" spans="1:1" x14ac:dyDescent="0.35">
      <c r="A593" s="4" t="s">
        <v>137</v>
      </c>
    </row>
    <row r="594" spans="1:1" x14ac:dyDescent="0.35">
      <c r="A594" s="4" t="s">
        <v>137</v>
      </c>
    </row>
    <row r="595" spans="1:1" x14ac:dyDescent="0.35">
      <c r="A595" s="4" t="s">
        <v>137</v>
      </c>
    </row>
    <row r="596" spans="1:1" x14ac:dyDescent="0.35">
      <c r="A596" s="4" t="s">
        <v>137</v>
      </c>
    </row>
    <row r="597" spans="1:1" x14ac:dyDescent="0.35">
      <c r="A597" s="4" t="s">
        <v>137</v>
      </c>
    </row>
    <row r="598" spans="1:1" x14ac:dyDescent="0.35">
      <c r="A598" s="4" t="s">
        <v>137</v>
      </c>
    </row>
    <row r="599" spans="1:1" x14ac:dyDescent="0.35">
      <c r="A599" s="4" t="s">
        <v>137</v>
      </c>
    </row>
    <row r="600" spans="1:1" x14ac:dyDescent="0.35">
      <c r="A600" s="4" t="s">
        <v>137</v>
      </c>
    </row>
    <row r="601" spans="1:1" x14ac:dyDescent="0.35">
      <c r="A601" s="4" t="s">
        <v>164</v>
      </c>
    </row>
    <row r="602" spans="1:1" x14ac:dyDescent="0.35">
      <c r="A602" s="4" t="s">
        <v>139</v>
      </c>
    </row>
    <row r="603" spans="1:1" x14ac:dyDescent="0.35">
      <c r="A603" s="4" t="s">
        <v>235</v>
      </c>
    </row>
    <row r="604" spans="1:1" x14ac:dyDescent="0.35">
      <c r="A604" s="4" t="s">
        <v>137</v>
      </c>
    </row>
    <row r="605" spans="1:1" x14ac:dyDescent="0.35">
      <c r="A605" s="4" t="s">
        <v>235</v>
      </c>
    </row>
    <row r="606" spans="1:1" x14ac:dyDescent="0.35">
      <c r="A606" s="4" t="s">
        <v>173</v>
      </c>
    </row>
    <row r="607" spans="1:1" x14ac:dyDescent="0.35">
      <c r="A607" s="4" t="s">
        <v>137</v>
      </c>
    </row>
    <row r="608" spans="1:1" x14ac:dyDescent="0.35">
      <c r="A608" s="4" t="s">
        <v>137</v>
      </c>
    </row>
    <row r="609" spans="1:1" x14ac:dyDescent="0.35">
      <c r="A609" s="4" t="s">
        <v>137</v>
      </c>
    </row>
    <row r="610" spans="1:1" x14ac:dyDescent="0.35">
      <c r="A610" s="4" t="s">
        <v>174</v>
      </c>
    </row>
    <row r="611" spans="1:1" x14ac:dyDescent="0.35">
      <c r="A611" s="4" t="s">
        <v>7</v>
      </c>
    </row>
    <row r="612" spans="1:1" x14ac:dyDescent="0.35">
      <c r="A612" s="4" t="s">
        <v>137</v>
      </c>
    </row>
    <row r="613" spans="1:1" x14ac:dyDescent="0.35">
      <c r="A613" s="4" t="s">
        <v>137</v>
      </c>
    </row>
    <row r="614" spans="1:1" x14ac:dyDescent="0.35">
      <c r="A614" s="4" t="s">
        <v>234</v>
      </c>
    </row>
    <row r="615" spans="1:1" x14ac:dyDescent="0.35">
      <c r="A615" s="4" t="s">
        <v>235</v>
      </c>
    </row>
    <row r="616" spans="1:1" x14ac:dyDescent="0.35">
      <c r="A616" s="4" t="s">
        <v>235</v>
      </c>
    </row>
    <row r="617" spans="1:1" x14ac:dyDescent="0.35">
      <c r="A617" s="4" t="s">
        <v>164</v>
      </c>
    </row>
    <row r="618" spans="1:1" x14ac:dyDescent="0.35">
      <c r="A618" s="4" t="s">
        <v>143</v>
      </c>
    </row>
    <row r="619" spans="1:1" x14ac:dyDescent="0.35">
      <c r="A619" s="4" t="s">
        <v>174</v>
      </c>
    </row>
    <row r="620" spans="1:1" x14ac:dyDescent="0.35">
      <c r="A620" s="4" t="s">
        <v>174</v>
      </c>
    </row>
    <row r="621" spans="1:1" x14ac:dyDescent="0.35">
      <c r="A621" s="4" t="s">
        <v>240</v>
      </c>
    </row>
    <row r="622" spans="1:1" x14ac:dyDescent="0.35">
      <c r="A622" s="4" t="s">
        <v>174</v>
      </c>
    </row>
    <row r="623" spans="1:1" x14ac:dyDescent="0.35">
      <c r="A623" s="4" t="s">
        <v>164</v>
      </c>
    </row>
    <row r="624" spans="1:1" x14ac:dyDescent="0.35">
      <c r="A624" s="4" t="s">
        <v>240</v>
      </c>
    </row>
    <row r="625" spans="1:1" x14ac:dyDescent="0.35">
      <c r="A625" s="4" t="s">
        <v>137</v>
      </c>
    </row>
    <row r="626" spans="1:1" x14ac:dyDescent="0.35">
      <c r="A626" s="4" t="s">
        <v>173</v>
      </c>
    </row>
    <row r="627" spans="1:1" x14ac:dyDescent="0.35">
      <c r="A627" s="4" t="s">
        <v>137</v>
      </c>
    </row>
    <row r="628" spans="1:1" x14ac:dyDescent="0.35">
      <c r="A628" s="4" t="s">
        <v>164</v>
      </c>
    </row>
    <row r="629" spans="1:1" x14ac:dyDescent="0.35">
      <c r="A629" s="4" t="s">
        <v>164</v>
      </c>
    </row>
    <row r="630" spans="1:1" x14ac:dyDescent="0.35">
      <c r="A630" s="4" t="s">
        <v>139</v>
      </c>
    </row>
    <row r="631" spans="1:1" x14ac:dyDescent="0.35">
      <c r="A631" s="4" t="s">
        <v>234</v>
      </c>
    </row>
    <row r="632" spans="1:1" x14ac:dyDescent="0.35">
      <c r="A632" s="4" t="s">
        <v>235</v>
      </c>
    </row>
    <row r="633" spans="1:1" x14ac:dyDescent="0.35">
      <c r="A633" s="4" t="s">
        <v>139</v>
      </c>
    </row>
    <row r="634" spans="1:1" x14ac:dyDescent="0.35">
      <c r="A634" s="4" t="s">
        <v>139</v>
      </c>
    </row>
    <row r="635" spans="1:1" x14ac:dyDescent="0.35">
      <c r="A635" s="4" t="s">
        <v>235</v>
      </c>
    </row>
    <row r="636" spans="1:1" x14ac:dyDescent="0.35">
      <c r="A636" s="4" t="s">
        <v>234</v>
      </c>
    </row>
    <row r="637" spans="1:1" x14ac:dyDescent="0.35">
      <c r="A637" s="4" t="s">
        <v>173</v>
      </c>
    </row>
    <row r="638" spans="1:1" x14ac:dyDescent="0.35">
      <c r="A638" s="4" t="s">
        <v>137</v>
      </c>
    </row>
    <row r="639" spans="1:1" x14ac:dyDescent="0.35">
      <c r="A639" s="4" t="s">
        <v>137</v>
      </c>
    </row>
    <row r="640" spans="1:1" x14ac:dyDescent="0.35">
      <c r="A640" s="4" t="s">
        <v>164</v>
      </c>
    </row>
    <row r="641" spans="1:1" x14ac:dyDescent="0.35">
      <c r="A641" s="4" t="s">
        <v>137</v>
      </c>
    </row>
    <row r="642" spans="1:1" x14ac:dyDescent="0.35">
      <c r="A642" s="4" t="s">
        <v>240</v>
      </c>
    </row>
    <row r="643" spans="1:1" x14ac:dyDescent="0.35">
      <c r="A643" s="4" t="s">
        <v>174</v>
      </c>
    </row>
    <row r="644" spans="1:1" x14ac:dyDescent="0.35">
      <c r="A644" s="4" t="s">
        <v>174</v>
      </c>
    </row>
    <row r="645" spans="1:1" x14ac:dyDescent="0.35">
      <c r="A645" s="4" t="s">
        <v>174</v>
      </c>
    </row>
    <row r="646" spans="1:1" x14ac:dyDescent="0.35">
      <c r="A646" s="4" t="s">
        <v>235</v>
      </c>
    </row>
    <row r="647" spans="1:1" x14ac:dyDescent="0.35">
      <c r="A647" s="4" t="s">
        <v>137</v>
      </c>
    </row>
    <row r="648" spans="1:1" x14ac:dyDescent="0.35">
      <c r="A648" s="4" t="s">
        <v>235</v>
      </c>
    </row>
    <row r="649" spans="1:1" x14ac:dyDescent="0.35">
      <c r="A649" s="4" t="s">
        <v>234</v>
      </c>
    </row>
    <row r="650" spans="1:1" x14ac:dyDescent="0.35">
      <c r="A650" s="4" t="s">
        <v>174</v>
      </c>
    </row>
    <row r="651" spans="1:1" x14ac:dyDescent="0.35">
      <c r="A651" s="4" t="s">
        <v>164</v>
      </c>
    </row>
    <row r="652" spans="1:1" x14ac:dyDescent="0.35">
      <c r="A652" s="4" t="s">
        <v>137</v>
      </c>
    </row>
    <row r="653" spans="1:1" x14ac:dyDescent="0.35">
      <c r="A653" s="4" t="s">
        <v>240</v>
      </c>
    </row>
    <row r="654" spans="1:1" x14ac:dyDescent="0.35">
      <c r="A654" s="4" t="s">
        <v>139</v>
      </c>
    </row>
    <row r="655" spans="1:1" x14ac:dyDescent="0.35">
      <c r="A655" s="4" t="s">
        <v>164</v>
      </c>
    </row>
    <row r="656" spans="1:1" x14ac:dyDescent="0.35">
      <c r="A656" s="4" t="s">
        <v>164</v>
      </c>
    </row>
    <row r="657" spans="1:1" x14ac:dyDescent="0.35">
      <c r="A657" s="4" t="s">
        <v>164</v>
      </c>
    </row>
    <row r="658" spans="1:1" x14ac:dyDescent="0.35">
      <c r="A658" s="4" t="s">
        <v>139</v>
      </c>
    </row>
    <row r="659" spans="1:1" x14ac:dyDescent="0.35">
      <c r="A659" s="4" t="s">
        <v>137</v>
      </c>
    </row>
    <row r="660" spans="1:1" x14ac:dyDescent="0.35">
      <c r="A660" s="4" t="s">
        <v>164</v>
      </c>
    </row>
    <row r="661" spans="1:1" x14ac:dyDescent="0.35">
      <c r="A661" s="4" t="s">
        <v>234</v>
      </c>
    </row>
    <row r="662" spans="1:1" x14ac:dyDescent="0.35">
      <c r="A662" s="4" t="s">
        <v>240</v>
      </c>
    </row>
    <row r="663" spans="1:1" x14ac:dyDescent="0.35">
      <c r="A663" s="4" t="s">
        <v>178</v>
      </c>
    </row>
    <row r="664" spans="1:1" x14ac:dyDescent="0.35">
      <c r="A664" s="4" t="s">
        <v>240</v>
      </c>
    </row>
    <row r="665" spans="1:1" x14ac:dyDescent="0.35">
      <c r="A665" s="4" t="s">
        <v>235</v>
      </c>
    </row>
    <row r="666" spans="1:1" x14ac:dyDescent="0.35">
      <c r="A666" s="4" t="s">
        <v>235</v>
      </c>
    </row>
    <row r="667" spans="1:1" x14ac:dyDescent="0.35">
      <c r="A667" s="4" t="s">
        <v>174</v>
      </c>
    </row>
    <row r="668" spans="1:1" x14ac:dyDescent="0.35">
      <c r="A668" s="4" t="s">
        <v>139</v>
      </c>
    </row>
    <row r="669" spans="1:1" x14ac:dyDescent="0.35">
      <c r="A669" s="4" t="s">
        <v>252</v>
      </c>
    </row>
    <row r="670" spans="1:1" x14ac:dyDescent="0.35">
      <c r="A670" s="4" t="s">
        <v>143</v>
      </c>
    </row>
    <row r="671" spans="1:1" x14ac:dyDescent="0.35">
      <c r="A671" s="4" t="s">
        <v>234</v>
      </c>
    </row>
    <row r="672" spans="1:1" x14ac:dyDescent="0.35">
      <c r="A672" s="4" t="s">
        <v>240</v>
      </c>
    </row>
    <row r="673" spans="1:1" x14ac:dyDescent="0.35">
      <c r="A673" s="4" t="s">
        <v>235</v>
      </c>
    </row>
    <row r="674" spans="1:1" x14ac:dyDescent="0.35">
      <c r="A674" s="4" t="s">
        <v>143</v>
      </c>
    </row>
    <row r="675" spans="1:1" x14ac:dyDescent="0.35">
      <c r="A675" s="4" t="s">
        <v>164</v>
      </c>
    </row>
    <row r="676" spans="1:1" x14ac:dyDescent="0.35">
      <c r="A676" s="4" t="s">
        <v>7</v>
      </c>
    </row>
    <row r="677" spans="1:1" x14ac:dyDescent="0.35">
      <c r="A677" s="4" t="s">
        <v>164</v>
      </c>
    </row>
    <row r="678" spans="1:1" x14ac:dyDescent="0.35">
      <c r="A678" s="4" t="s">
        <v>164</v>
      </c>
    </row>
    <row r="679" spans="1:1" x14ac:dyDescent="0.35">
      <c r="A679" s="4" t="s">
        <v>138</v>
      </c>
    </row>
    <row r="680" spans="1:1" x14ac:dyDescent="0.35">
      <c r="A680" s="4" t="s">
        <v>164</v>
      </c>
    </row>
    <row r="681" spans="1:1" x14ac:dyDescent="0.35">
      <c r="A681" s="4" t="s">
        <v>240</v>
      </c>
    </row>
    <row r="682" spans="1:1" x14ac:dyDescent="0.35">
      <c r="A682" s="4" t="s">
        <v>234</v>
      </c>
    </row>
    <row r="683" spans="1:1" x14ac:dyDescent="0.35">
      <c r="A683" s="4" t="s">
        <v>164</v>
      </c>
    </row>
    <row r="684" spans="1:1" x14ac:dyDescent="0.35">
      <c r="A684" s="4" t="s">
        <v>174</v>
      </c>
    </row>
    <row r="685" spans="1:1" x14ac:dyDescent="0.35">
      <c r="A685" s="4" t="s">
        <v>235</v>
      </c>
    </row>
    <row r="686" spans="1:1" x14ac:dyDescent="0.35">
      <c r="A686" s="4" t="s">
        <v>235</v>
      </c>
    </row>
    <row r="687" spans="1:1" x14ac:dyDescent="0.35">
      <c r="A687" s="4" t="s">
        <v>234</v>
      </c>
    </row>
    <row r="688" spans="1:1" x14ac:dyDescent="0.35">
      <c r="A688" s="4" t="s">
        <v>234</v>
      </c>
    </row>
    <row r="689" spans="1:1" x14ac:dyDescent="0.35">
      <c r="A689" s="4" t="s">
        <v>236</v>
      </c>
    </row>
    <row r="690" spans="1:1" x14ac:dyDescent="0.35">
      <c r="A690" s="4" t="s">
        <v>7</v>
      </c>
    </row>
    <row r="691" spans="1:1" x14ac:dyDescent="0.35">
      <c r="A691" s="4" t="s">
        <v>235</v>
      </c>
    </row>
    <row r="692" spans="1:1" x14ac:dyDescent="0.35">
      <c r="A692" s="4" t="s">
        <v>234</v>
      </c>
    </row>
    <row r="693" spans="1:1" x14ac:dyDescent="0.35">
      <c r="A693" s="4" t="s">
        <v>234</v>
      </c>
    </row>
    <row r="694" spans="1:1" x14ac:dyDescent="0.35">
      <c r="A694" s="4" t="s">
        <v>138</v>
      </c>
    </row>
    <row r="695" spans="1:1" x14ac:dyDescent="0.35">
      <c r="A695" s="4" t="s">
        <v>139</v>
      </c>
    </row>
    <row r="696" spans="1:1" x14ac:dyDescent="0.35">
      <c r="A696" s="4" t="s">
        <v>234</v>
      </c>
    </row>
    <row r="697" spans="1:1" x14ac:dyDescent="0.35">
      <c r="A697" s="4" t="s">
        <v>235</v>
      </c>
    </row>
    <row r="698" spans="1:1" x14ac:dyDescent="0.35">
      <c r="A698" s="4" t="s">
        <v>177</v>
      </c>
    </row>
    <row r="699" spans="1:1" x14ac:dyDescent="0.35">
      <c r="A699" s="4" t="s">
        <v>240</v>
      </c>
    </row>
    <row r="700" spans="1:1" x14ac:dyDescent="0.35">
      <c r="A700" s="4" t="s">
        <v>234</v>
      </c>
    </row>
    <row r="701" spans="1:1" x14ac:dyDescent="0.35">
      <c r="A701" s="4" t="s">
        <v>234</v>
      </c>
    </row>
    <row r="702" spans="1:1" x14ac:dyDescent="0.35">
      <c r="A702" s="4" t="s">
        <v>164</v>
      </c>
    </row>
    <row r="703" spans="1:1" x14ac:dyDescent="0.35">
      <c r="A703" s="4" t="s">
        <v>235</v>
      </c>
    </row>
    <row r="704" spans="1:1" x14ac:dyDescent="0.35">
      <c r="A704" s="4" t="s">
        <v>164</v>
      </c>
    </row>
    <row r="705" spans="1:1" x14ac:dyDescent="0.35">
      <c r="A705" s="4" t="s">
        <v>174</v>
      </c>
    </row>
    <row r="706" spans="1:1" x14ac:dyDescent="0.35">
      <c r="A706" s="4" t="s">
        <v>174</v>
      </c>
    </row>
    <row r="707" spans="1:1" x14ac:dyDescent="0.35">
      <c r="A707" s="4" t="s">
        <v>164</v>
      </c>
    </row>
    <row r="708" spans="1:1" x14ac:dyDescent="0.35">
      <c r="A708" s="4" t="s">
        <v>164</v>
      </c>
    </row>
    <row r="709" spans="1:1" x14ac:dyDescent="0.35">
      <c r="A709" s="4" t="s">
        <v>234</v>
      </c>
    </row>
    <row r="710" spans="1:1" x14ac:dyDescent="0.35">
      <c r="A710" s="4" t="s">
        <v>174</v>
      </c>
    </row>
    <row r="711" spans="1:1" x14ac:dyDescent="0.35">
      <c r="A711" s="4" t="s">
        <v>234</v>
      </c>
    </row>
    <row r="712" spans="1:1" x14ac:dyDescent="0.35">
      <c r="A712" s="4" t="s">
        <v>139</v>
      </c>
    </row>
    <row r="713" spans="1:1" x14ac:dyDescent="0.35">
      <c r="A713" s="4" t="s">
        <v>234</v>
      </c>
    </row>
    <row r="714" spans="1:1" x14ac:dyDescent="0.35">
      <c r="A714" s="4" t="s">
        <v>234</v>
      </c>
    </row>
    <row r="715" spans="1:1" x14ac:dyDescent="0.35">
      <c r="A715" s="4" t="s">
        <v>140</v>
      </c>
    </row>
    <row r="716" spans="1:1" x14ac:dyDescent="0.35">
      <c r="A716" s="4" t="s">
        <v>235</v>
      </c>
    </row>
    <row r="717" spans="1:1" x14ac:dyDescent="0.35">
      <c r="A717" s="4" t="s">
        <v>234</v>
      </c>
    </row>
    <row r="718" spans="1:1" x14ac:dyDescent="0.35">
      <c r="A718" s="4" t="s">
        <v>164</v>
      </c>
    </row>
    <row r="719" spans="1:1" x14ac:dyDescent="0.35">
      <c r="A719" s="4" t="s">
        <v>234</v>
      </c>
    </row>
    <row r="720" spans="1:1" x14ac:dyDescent="0.35">
      <c r="A720" s="4" t="s">
        <v>139</v>
      </c>
    </row>
    <row r="721" spans="1:1" x14ac:dyDescent="0.35">
      <c r="A721" s="4" t="s">
        <v>174</v>
      </c>
    </row>
    <row r="722" spans="1:1" x14ac:dyDescent="0.35">
      <c r="A722" s="4" t="s">
        <v>164</v>
      </c>
    </row>
    <row r="723" spans="1:1" x14ac:dyDescent="0.35">
      <c r="A723" s="4" t="s">
        <v>236</v>
      </c>
    </row>
    <row r="724" spans="1:1" x14ac:dyDescent="0.35">
      <c r="A724" s="4" t="s">
        <v>236</v>
      </c>
    </row>
    <row r="725" spans="1:1" x14ac:dyDescent="0.35">
      <c r="A725" s="4" t="s">
        <v>234</v>
      </c>
    </row>
    <row r="726" spans="1:1" x14ac:dyDescent="0.35">
      <c r="A726" s="4" t="s">
        <v>164</v>
      </c>
    </row>
    <row r="727" spans="1:1" x14ac:dyDescent="0.35">
      <c r="A727" s="4" t="s">
        <v>139</v>
      </c>
    </row>
    <row r="728" spans="1:1" x14ac:dyDescent="0.35">
      <c r="A728" s="4" t="s">
        <v>235</v>
      </c>
    </row>
    <row r="729" spans="1:1" x14ac:dyDescent="0.35">
      <c r="A729" s="4" t="s">
        <v>174</v>
      </c>
    </row>
    <row r="730" spans="1:1" x14ac:dyDescent="0.35">
      <c r="A730" s="4" t="s">
        <v>164</v>
      </c>
    </row>
    <row r="731" spans="1:1" x14ac:dyDescent="0.35">
      <c r="A731" s="4" t="s">
        <v>174</v>
      </c>
    </row>
    <row r="732" spans="1:1" x14ac:dyDescent="0.35">
      <c r="A732" s="4" t="s">
        <v>140</v>
      </c>
    </row>
    <row r="733" spans="1:1" x14ac:dyDescent="0.35">
      <c r="A733" s="4" t="s">
        <v>174</v>
      </c>
    </row>
    <row r="734" spans="1:1" x14ac:dyDescent="0.35">
      <c r="A734" s="4" t="s">
        <v>234</v>
      </c>
    </row>
    <row r="735" spans="1:1" x14ac:dyDescent="0.35">
      <c r="A735" s="4" t="s">
        <v>174</v>
      </c>
    </row>
    <row r="736" spans="1:1" x14ac:dyDescent="0.35">
      <c r="A736" s="4" t="s">
        <v>174</v>
      </c>
    </row>
    <row r="737" spans="1:1" x14ac:dyDescent="0.35">
      <c r="A737" s="4" t="s">
        <v>174</v>
      </c>
    </row>
    <row r="738" spans="1:1" x14ac:dyDescent="0.35">
      <c r="A738" s="4" t="s">
        <v>7</v>
      </c>
    </row>
    <row r="739" spans="1:1" x14ac:dyDescent="0.35">
      <c r="A739" s="4" t="s">
        <v>164</v>
      </c>
    </row>
    <row r="740" spans="1:1" x14ac:dyDescent="0.35">
      <c r="A740" s="4" t="s">
        <v>236</v>
      </c>
    </row>
    <row r="741" spans="1:1" x14ac:dyDescent="0.35">
      <c r="A741" s="4" t="s">
        <v>164</v>
      </c>
    </row>
    <row r="742" spans="1:1" x14ac:dyDescent="0.35">
      <c r="A742" s="4" t="s">
        <v>164</v>
      </c>
    </row>
    <row r="743" spans="1:1" x14ac:dyDescent="0.35">
      <c r="A743" s="4" t="s">
        <v>236</v>
      </c>
    </row>
    <row r="744" spans="1:1" x14ac:dyDescent="0.35">
      <c r="A744" s="4" t="s">
        <v>174</v>
      </c>
    </row>
    <row r="745" spans="1:1" x14ac:dyDescent="0.35">
      <c r="A745" s="4" t="s">
        <v>174</v>
      </c>
    </row>
    <row r="746" spans="1:1" x14ac:dyDescent="0.35">
      <c r="A746" s="4" t="s">
        <v>164</v>
      </c>
    </row>
    <row r="747" spans="1:1" x14ac:dyDescent="0.35">
      <c r="A747" s="4" t="s">
        <v>236</v>
      </c>
    </row>
    <row r="748" spans="1:1" x14ac:dyDescent="0.35">
      <c r="A748" s="4" t="s">
        <v>143</v>
      </c>
    </row>
    <row r="749" spans="1:1" x14ac:dyDescent="0.35">
      <c r="A749" s="4" t="s">
        <v>236</v>
      </c>
    </row>
    <row r="750" spans="1:1" x14ac:dyDescent="0.35">
      <c r="A750" s="4" t="s">
        <v>177</v>
      </c>
    </row>
    <row r="751" spans="1:1" x14ac:dyDescent="0.35">
      <c r="A751" s="4" t="s">
        <v>139</v>
      </c>
    </row>
    <row r="752" spans="1:1" x14ac:dyDescent="0.35">
      <c r="A752" s="4" t="s">
        <v>234</v>
      </c>
    </row>
    <row r="753" spans="1:1" x14ac:dyDescent="0.35">
      <c r="A753" s="4" t="s">
        <v>164</v>
      </c>
    </row>
    <row r="754" spans="1:1" x14ac:dyDescent="0.35">
      <c r="A754" s="4" t="s">
        <v>265</v>
      </c>
    </row>
    <row r="755" spans="1:1" x14ac:dyDescent="0.35">
      <c r="A755" s="4" t="s">
        <v>240</v>
      </c>
    </row>
    <row r="756" spans="1:1" x14ac:dyDescent="0.35">
      <c r="A756" s="4" t="s">
        <v>164</v>
      </c>
    </row>
    <row r="757" spans="1:1" x14ac:dyDescent="0.35">
      <c r="A757" s="4" t="s">
        <v>236</v>
      </c>
    </row>
    <row r="758" spans="1:1" x14ac:dyDescent="0.35">
      <c r="A758" s="4" t="s">
        <v>236</v>
      </c>
    </row>
    <row r="759" spans="1:1" x14ac:dyDescent="0.35">
      <c r="A759" s="4" t="s">
        <v>174</v>
      </c>
    </row>
    <row r="760" spans="1:1" x14ac:dyDescent="0.35">
      <c r="A760" s="4" t="s">
        <v>174</v>
      </c>
    </row>
    <row r="761" spans="1:1" x14ac:dyDescent="0.35">
      <c r="A761" s="4" t="s">
        <v>241</v>
      </c>
    </row>
    <row r="762" spans="1:1" x14ac:dyDescent="0.35">
      <c r="A762" s="4" t="s">
        <v>176</v>
      </c>
    </row>
    <row r="763" spans="1:1" x14ac:dyDescent="0.35">
      <c r="A763" s="4" t="s">
        <v>140</v>
      </c>
    </row>
    <row r="764" spans="1:1" x14ac:dyDescent="0.35">
      <c r="A764" s="4" t="s">
        <v>236</v>
      </c>
    </row>
    <row r="765" spans="1:1" x14ac:dyDescent="0.35">
      <c r="A765" s="4" t="s">
        <v>236</v>
      </c>
    </row>
    <row r="766" spans="1:1" x14ac:dyDescent="0.35">
      <c r="A766" s="4" t="s">
        <v>140</v>
      </c>
    </row>
    <row r="767" spans="1:1" x14ac:dyDescent="0.35">
      <c r="A767" s="4" t="s">
        <v>236</v>
      </c>
    </row>
    <row r="768" spans="1:1" x14ac:dyDescent="0.35">
      <c r="A768" s="4" t="s">
        <v>174</v>
      </c>
    </row>
    <row r="769" spans="1:1" x14ac:dyDescent="0.35">
      <c r="A769" s="4" t="s">
        <v>236</v>
      </c>
    </row>
    <row r="770" spans="1:1" x14ac:dyDescent="0.35">
      <c r="A770" s="4" t="s">
        <v>241</v>
      </c>
    </row>
    <row r="771" spans="1:1" x14ac:dyDescent="0.35">
      <c r="A771" s="4" t="s">
        <v>234</v>
      </c>
    </row>
    <row r="772" spans="1:1" x14ac:dyDescent="0.35">
      <c r="A772" s="4" t="s">
        <v>236</v>
      </c>
    </row>
    <row r="773" spans="1:1" x14ac:dyDescent="0.35">
      <c r="A773" s="4" t="s">
        <v>236</v>
      </c>
    </row>
    <row r="774" spans="1:1" x14ac:dyDescent="0.35">
      <c r="A774" s="4" t="s">
        <v>140</v>
      </c>
    </row>
    <row r="775" spans="1:1" x14ac:dyDescent="0.35">
      <c r="A775" s="4" t="s">
        <v>236</v>
      </c>
    </row>
    <row r="776" spans="1:1" x14ac:dyDescent="0.35">
      <c r="A776" s="4" t="s">
        <v>174</v>
      </c>
    </row>
    <row r="777" spans="1:1" x14ac:dyDescent="0.35">
      <c r="A777" s="4" t="s">
        <v>236</v>
      </c>
    </row>
    <row r="778" spans="1:1" x14ac:dyDescent="0.35">
      <c r="A778" s="4" t="s">
        <v>140</v>
      </c>
    </row>
    <row r="779" spans="1:1" x14ac:dyDescent="0.35">
      <c r="A779" s="4" t="s">
        <v>174</v>
      </c>
    </row>
    <row r="780" spans="1:1" x14ac:dyDescent="0.35">
      <c r="A780" s="4" t="s">
        <v>236</v>
      </c>
    </row>
    <row r="781" spans="1:1" x14ac:dyDescent="0.35">
      <c r="A781" s="4" t="s">
        <v>236</v>
      </c>
    </row>
    <row r="782" spans="1:1" x14ac:dyDescent="0.35">
      <c r="A782" s="4" t="s">
        <v>177</v>
      </c>
    </row>
    <row r="783" spans="1:1" x14ac:dyDescent="0.35">
      <c r="A783" s="4" t="s">
        <v>174</v>
      </c>
    </row>
    <row r="784" spans="1:1" x14ac:dyDescent="0.35">
      <c r="A784" s="4" t="s">
        <v>236</v>
      </c>
    </row>
    <row r="785" spans="1:1" x14ac:dyDescent="0.35">
      <c r="A785" s="4" t="s">
        <v>174</v>
      </c>
    </row>
    <row r="786" spans="1:1" x14ac:dyDescent="0.35">
      <c r="A786" s="4" t="s">
        <v>174</v>
      </c>
    </row>
    <row r="787" spans="1:1" x14ac:dyDescent="0.35">
      <c r="A787" s="4" t="s">
        <v>164</v>
      </c>
    </row>
    <row r="788" spans="1:1" x14ac:dyDescent="0.35">
      <c r="A788" s="4" t="s">
        <v>236</v>
      </c>
    </row>
    <row r="789" spans="1:1" x14ac:dyDescent="0.35">
      <c r="A789" s="4" t="s">
        <v>236</v>
      </c>
    </row>
    <row r="790" spans="1:1" x14ac:dyDescent="0.35">
      <c r="A790" s="4" t="s">
        <v>177</v>
      </c>
    </row>
    <row r="791" spans="1:1" x14ac:dyDescent="0.35">
      <c r="A791" s="4" t="s">
        <v>236</v>
      </c>
    </row>
    <row r="792" spans="1:1" x14ac:dyDescent="0.35">
      <c r="A792" s="4" t="s">
        <v>236</v>
      </c>
    </row>
  </sheetData>
  <sortState xmlns:xlrd2="http://schemas.microsoft.com/office/spreadsheetml/2017/richdata2" ref="B1:B792">
    <sortCondition ref="B1:B792"/>
  </sortState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women_3m</vt:lpstr>
      <vt:lpstr>women_10m</vt:lpstr>
      <vt:lpstr>men_3m</vt:lpstr>
      <vt:lpstr>men_10m</vt:lpstr>
      <vt:lpstr>dives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Whitehouse, Jordan</dc:creator>
  <cp:lastModifiedBy>Whitehouse, Jordan</cp:lastModifiedBy>
  <dcterms:created xsi:type="dcterms:W3CDTF">2026-05-02T22:39:23Z</dcterms:created>
  <dcterms:modified xsi:type="dcterms:W3CDTF">2026-05-05T18:55:56Z</dcterms:modified>
</cp:coreProperties>
</file>